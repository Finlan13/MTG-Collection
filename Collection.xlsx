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mq1-my.sharepoint.com/personal/jwilson2_wmq_org_au/Documents/Personal/"/>
    </mc:Choice>
  </mc:AlternateContent>
  <xr:revisionPtr revIDLastSave="47" documentId="8_{2033F43C-C6BB-4C08-AFC2-6B13CA67BB32}" xr6:coauthVersionLast="47" xr6:coauthVersionMax="47" xr10:uidLastSave="{9BC857A7-9EF7-4C04-A990-4601309CDA74}"/>
  <bookViews>
    <workbookView xWindow="-45" yWindow="-16320" windowWidth="29040" windowHeight="15720" xr2:uid="{81B73E51-8E9F-4DC6-AB43-6EC826371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" i="1"/>
</calcChain>
</file>

<file path=xl/sharedStrings.xml><?xml version="1.0" encoding="utf-8"?>
<sst xmlns="http://schemas.openxmlformats.org/spreadsheetml/2006/main" count="718" uniqueCount="343">
  <si>
    <t>Set</t>
  </si>
  <si>
    <t>CardNo</t>
  </si>
  <si>
    <t>Name</t>
  </si>
  <si>
    <t>Artist</t>
  </si>
  <si>
    <t>Qty</t>
  </si>
  <si>
    <t>AcquisitionDate</t>
  </si>
  <si>
    <t>ECL</t>
  </si>
  <si>
    <t>Changeling Wayfinder</t>
  </si>
  <si>
    <t>Rooftop Percher</t>
  </si>
  <si>
    <t>Adept Watershaper</t>
  </si>
  <si>
    <t>Ajani, Outland Chaperone</t>
  </si>
  <si>
    <t>Appeal to Eirdu</t>
  </si>
  <si>
    <t>Bark of Doran</t>
  </si>
  <si>
    <t>Brigid, Clachan's Heart // Brigid, Doun's Mind</t>
  </si>
  <si>
    <t>Burdened Stoneback</t>
  </si>
  <si>
    <t>Clachan Festival</t>
  </si>
  <si>
    <t>Crib Swap</t>
  </si>
  <si>
    <t>Curious Colossus</t>
  </si>
  <si>
    <t>Eirdu, Carrier of Dawn // Isilu, Carrier of Twilight</t>
  </si>
  <si>
    <t>Encumbered Reejerey</t>
  </si>
  <si>
    <t>Evershrike's Gift</t>
  </si>
  <si>
    <t>Flock Impostor</t>
  </si>
  <si>
    <t>Gallant Fowlknight</t>
  </si>
  <si>
    <t>Goldmeadow Nomad</t>
  </si>
  <si>
    <t>Keep Out</t>
  </si>
  <si>
    <t>Kinsbaile Aspirant</t>
  </si>
  <si>
    <t>Kinscaer Sentry</t>
  </si>
  <si>
    <t>Kithkeeper</t>
  </si>
  <si>
    <t>Liminal Hold</t>
  </si>
  <si>
    <t>Meanders Guide</t>
  </si>
  <si>
    <t>Moonlit Lamenter</t>
  </si>
  <si>
    <t>Personify</t>
  </si>
  <si>
    <t>Pyrrhic Strike</t>
  </si>
  <si>
    <t>Reluctant Dounguard</t>
  </si>
  <si>
    <t>Riverguard's Reflexes</t>
  </si>
  <si>
    <t>Shore Lurker</t>
  </si>
  <si>
    <t>Spiral into Solitude</t>
  </si>
  <si>
    <t>Sun-Dappled Celebrant</t>
  </si>
  <si>
    <t>Thoughtweft Imbuer</t>
  </si>
  <si>
    <t>Timid Shieldbearer</t>
  </si>
  <si>
    <t>Tributary Vaulter</t>
  </si>
  <si>
    <t>Wanderbrine Preacher</t>
  </si>
  <si>
    <t>Wanderbrine Trapper</t>
  </si>
  <si>
    <t>Aquitect's Defenses</t>
  </si>
  <si>
    <t>Blossombind</t>
  </si>
  <si>
    <t>Champions of the Shoal</t>
  </si>
  <si>
    <t>Disruptor of Currents</t>
  </si>
  <si>
    <t>Flitterwing Nuisance</t>
  </si>
  <si>
    <t>Glamer Gifter</t>
  </si>
  <si>
    <t>Glamermite</t>
  </si>
  <si>
    <t>Glen Elendra Guardian</t>
  </si>
  <si>
    <t>Gravelgill Scoundrel</t>
  </si>
  <si>
    <t>Harmonized Crescendo</t>
  </si>
  <si>
    <t>Illusion Spinners</t>
  </si>
  <si>
    <t>Kulrath Mystic</t>
  </si>
  <si>
    <t>Lofty Dreams</t>
  </si>
  <si>
    <t>Noggle the Mind</t>
  </si>
  <si>
    <t>Omni-Changeling</t>
  </si>
  <si>
    <t>Pestered Wellguard</t>
  </si>
  <si>
    <t>Rime Chill</t>
  </si>
  <si>
    <t>Rimefire Torque</t>
  </si>
  <si>
    <t>Rimekin Recluse</t>
  </si>
  <si>
    <t>Run Away Together</t>
  </si>
  <si>
    <t>Shinestriker</t>
  </si>
  <si>
    <t>Silvergill Mentor</t>
  </si>
  <si>
    <t>Silvergill Peddler</t>
  </si>
  <si>
    <t>Spell Snare</t>
  </si>
  <si>
    <t>Stratosoarer</t>
  </si>
  <si>
    <t>Summit Sentinel</t>
  </si>
  <si>
    <t>Sunderflock</t>
  </si>
  <si>
    <t>Swat Away</t>
  </si>
  <si>
    <t>Tanufel Rimespeaker</t>
  </si>
  <si>
    <t>Temporal Cleansing</t>
  </si>
  <si>
    <t>Thirst for Identity</t>
  </si>
  <si>
    <t>Unexpected Assistance</t>
  </si>
  <si>
    <t>Unwelcome Sprite</t>
  </si>
  <si>
    <t>Wanderwine Distracter</t>
  </si>
  <si>
    <t>Wanderwine Farewell</t>
  </si>
  <si>
    <t>Wild Unraveling</t>
  </si>
  <si>
    <t>Auntie's Sentence</t>
  </si>
  <si>
    <t>Barbed Bloodletter</t>
  </si>
  <si>
    <t>Bile-Vial Boggart</t>
  </si>
  <si>
    <t>Blight Rot</t>
  </si>
  <si>
    <t>Blighted Blackthorn</t>
  </si>
  <si>
    <t>Boggart Mischief</t>
  </si>
  <si>
    <t>Boggart Prankster</t>
  </si>
  <si>
    <t>Bogslither's Embrace</t>
  </si>
  <si>
    <t>Darkness Descends</t>
  </si>
  <si>
    <t>Dawnhand Eulogist</t>
  </si>
  <si>
    <t>Dose of Dawnglow</t>
  </si>
  <si>
    <t>Dream Seizer</t>
  </si>
  <si>
    <t>Gnarlbark Elm</t>
  </si>
  <si>
    <t>Graveshifter</t>
  </si>
  <si>
    <t>Grub, Storied Matriarch // Grub, Notorious Auntie</t>
  </si>
  <si>
    <t>Gutsplitter Gang</t>
  </si>
  <si>
    <t>Heirloom Auntie</t>
  </si>
  <si>
    <t>Iron-Shield Elf</t>
  </si>
  <si>
    <t>Moonglove Extractor</t>
  </si>
  <si>
    <t>Moonshadow</t>
  </si>
  <si>
    <t>Mudbutton Cursetosser</t>
  </si>
  <si>
    <t>Nameless Inversion</t>
  </si>
  <si>
    <t>Nightmare Sower</t>
  </si>
  <si>
    <t>Perfect Intimidation</t>
  </si>
  <si>
    <t>Requiting Hex</t>
  </si>
  <si>
    <t>Retched Wretch</t>
  </si>
  <si>
    <t>Scarblade Scout</t>
  </si>
  <si>
    <t>Scarblade's Malice</t>
  </si>
  <si>
    <t>Shimmercreep</t>
  </si>
  <si>
    <t>Taster of Wares</t>
  </si>
  <si>
    <t>Unbury</t>
  </si>
  <si>
    <t>Boldwyr Aggressor</t>
  </si>
  <si>
    <t>Boneclub Berserker</t>
  </si>
  <si>
    <t>Boulder Dash</t>
  </si>
  <si>
    <t>Brambleback Brute</t>
  </si>
  <si>
    <t>Burning Curiosity</t>
  </si>
  <si>
    <t>Cinder Strike</t>
  </si>
  <si>
    <t>Collective Inferno</t>
  </si>
  <si>
    <t>Elder Auntie</t>
  </si>
  <si>
    <t>End-Blaze Epiphany</t>
  </si>
  <si>
    <t>Enraged Flamecaster</t>
  </si>
  <si>
    <t>Explosive Prodigy</t>
  </si>
  <si>
    <t>Feed the Flames</t>
  </si>
  <si>
    <t>Flame-Chain Mauler</t>
  </si>
  <si>
    <t>Flamebraider</t>
  </si>
  <si>
    <t>Flamekin Gildweaver</t>
  </si>
  <si>
    <t>Giantfall</t>
  </si>
  <si>
    <t>Goatnap</t>
  </si>
  <si>
    <t>Goliath Daydreamer</t>
  </si>
  <si>
    <t>Gristle Glutton</t>
  </si>
  <si>
    <t>Impolite Entrance</t>
  </si>
  <si>
    <t>Kindle the Inner Flame</t>
  </si>
  <si>
    <t>Kulrath Zealot</t>
  </si>
  <si>
    <t>Lasting Tarfire</t>
  </si>
  <si>
    <t>Reckless Ransacking</t>
  </si>
  <si>
    <t>Scuzzback Scrounger</t>
  </si>
  <si>
    <t>Sear</t>
  </si>
  <si>
    <t>Sizzling Changeling</t>
  </si>
  <si>
    <t>Soul Immolation</t>
  </si>
  <si>
    <t>Soulbright Seeker</t>
  </si>
  <si>
    <t>Sourbread Auntie</t>
  </si>
  <si>
    <t>Spinerock Tyrant</t>
  </si>
  <si>
    <t>Tweeze</t>
  </si>
  <si>
    <t>Warren Torchmaster</t>
  </si>
  <si>
    <t>Assert Perfection</t>
  </si>
  <si>
    <t>Blossoming Defense</t>
  </si>
  <si>
    <t>Bristlebane Outrider</t>
  </si>
  <si>
    <t>Celestial Reunion</t>
  </si>
  <si>
    <t>Chomping Changeling</t>
  </si>
  <si>
    <t>Crossroads Watcher</t>
  </si>
  <si>
    <t>Dawn's Light Archer</t>
  </si>
  <si>
    <t>Dundoolin Weaver</t>
  </si>
  <si>
    <t>Formidable Speaker</t>
  </si>
  <si>
    <t>Gilt-Leaf's Embrace</t>
  </si>
  <si>
    <t>Great Forest Druid</t>
  </si>
  <si>
    <t>Luminollusk</t>
  </si>
  <si>
    <t>Lys Alana Dignitary</t>
  </si>
  <si>
    <t>Lys Alana Informant</t>
  </si>
  <si>
    <t>Midnight Tilling</t>
  </si>
  <si>
    <t>Mistmeadow Council</t>
  </si>
  <si>
    <t>Moon-Vigil Adherents</t>
  </si>
  <si>
    <t>Morcant's Eyes</t>
  </si>
  <si>
    <t>Mutable Explorer</t>
  </si>
  <si>
    <t>Pitiless Fists</t>
  </si>
  <si>
    <t>Prismabasher</t>
  </si>
  <si>
    <t>Pummeler for Hire</t>
  </si>
  <si>
    <t>Safewright Cavalry</t>
  </si>
  <si>
    <t>Sapling Nursery</t>
  </si>
  <si>
    <t>Shimmerwilds Growth</t>
  </si>
  <si>
    <t>Surly Farrier</t>
  </si>
  <si>
    <t>Tend the Sprigs</t>
  </si>
  <si>
    <t>Thoughtweft Charge</t>
  </si>
  <si>
    <t>Unforgiving Aim</t>
  </si>
  <si>
    <t>Vinebred Brawler</t>
  </si>
  <si>
    <t>Virulent Emissary</t>
  </si>
  <si>
    <t>Wildvine Pummeler</t>
  </si>
  <si>
    <t>Boggart Cursecrafter</t>
  </si>
  <si>
    <t>Bre of Clan Stoutarm</t>
  </si>
  <si>
    <t>Chaos Spewer</t>
  </si>
  <si>
    <t>Chitinous Graspling</t>
  </si>
  <si>
    <t>Deepway Navigator</t>
  </si>
  <si>
    <t>Doran, Besieged by Time</t>
  </si>
  <si>
    <t>Dream Harvest</t>
  </si>
  <si>
    <t>Eclipsed Boggart</t>
  </si>
  <si>
    <t>Eclipsed Flamekin</t>
  </si>
  <si>
    <t>Eclipsed Kithkin</t>
  </si>
  <si>
    <t>Eclipsed Merrow</t>
  </si>
  <si>
    <t>Feisty Spikeling</t>
  </si>
  <si>
    <t>Flaring Cinder</t>
  </si>
  <si>
    <t>Gangly Stompling</t>
  </si>
  <si>
    <t>Glister Bairn</t>
  </si>
  <si>
    <t>Grub's Command</t>
  </si>
  <si>
    <t>Hovel Hurler</t>
  </si>
  <si>
    <t>Lluwen, Imperfect Naturalist</t>
  </si>
  <si>
    <t>Merrow Skyswimmer</t>
  </si>
  <si>
    <t>Mischievous Sneakling</t>
  </si>
  <si>
    <t>Morcant's Loyalist</t>
  </si>
  <si>
    <t>Noggle Robber</t>
  </si>
  <si>
    <t>Prideful Feastling</t>
  </si>
  <si>
    <t>Reaping Willow</t>
  </si>
  <si>
    <t>Shadow Urchin</t>
  </si>
  <si>
    <t>Stoic Grove-Guide</t>
  </si>
  <si>
    <t>Tam, Mindful First-Year</t>
  </si>
  <si>
    <t>Thoughtweft Lieutenant</t>
  </si>
  <si>
    <t>Trystan's Command</t>
  </si>
  <si>
    <t>Twinflame Travelers</t>
  </si>
  <si>
    <t>Vibrance</t>
  </si>
  <si>
    <t>Voracious Tome-Skimmer</t>
  </si>
  <si>
    <t>Wary Farmer</t>
  </si>
  <si>
    <t>Wistfulness</t>
  </si>
  <si>
    <t>Firdoch Core</t>
  </si>
  <si>
    <t>Foraging Wickermaw</t>
  </si>
  <si>
    <t>Gathering Stone</t>
  </si>
  <si>
    <t>Puca's Eye</t>
  </si>
  <si>
    <t>Springleaf Drum</t>
  </si>
  <si>
    <t>Stalactite Dagger</t>
  </si>
  <si>
    <t>Eclipsed Realms</t>
  </si>
  <si>
    <t>Evolving Wilds</t>
  </si>
  <si>
    <t>Hallowed Fountain</t>
  </si>
  <si>
    <t>Steam Vents</t>
  </si>
  <si>
    <t>Temple Garden</t>
  </si>
  <si>
    <t>Plains</t>
  </si>
  <si>
    <t>Island</t>
  </si>
  <si>
    <t>Swamp</t>
  </si>
  <si>
    <t>Mountain</t>
  </si>
  <si>
    <t>Forest</t>
  </si>
  <si>
    <t>Dawnhand Dissident</t>
  </si>
  <si>
    <t>Aurora Awakener</t>
  </si>
  <si>
    <t>Eclipsed Elf</t>
  </si>
  <si>
    <t>Quintin Gleim</t>
  </si>
  <si>
    <t>Nils Hamm</t>
  </si>
  <si>
    <t>Pauline Voss</t>
  </si>
  <si>
    <t>Daren Bader</t>
  </si>
  <si>
    <t>Milivoj Ćeran</t>
  </si>
  <si>
    <t>Jorge Jacinto</t>
  </si>
  <si>
    <t>Zoltan Boros</t>
  </si>
  <si>
    <t>Carl Critchlow</t>
  </si>
  <si>
    <t>Kev Fang</t>
  </si>
  <si>
    <t>Pete Venters</t>
  </si>
  <si>
    <t>Raoul Vitale</t>
  </si>
  <si>
    <t>Lucas Graciano</t>
  </si>
  <si>
    <t>Jeff Miracola</t>
  </si>
  <si>
    <t>Drew Tucker</t>
  </si>
  <si>
    <t>Ilse Gort</t>
  </si>
  <si>
    <t>Edgar Sánchez Hidalgo</t>
  </si>
  <si>
    <t>Paolo Parente</t>
  </si>
  <si>
    <t>Ron Spencer</t>
  </si>
  <si>
    <t>Margaret Organ-Kean</t>
  </si>
  <si>
    <t>Filip Burburan</t>
  </si>
  <si>
    <t>Ovidio Cartagena</t>
  </si>
  <si>
    <t>Julie Dillon</t>
  </si>
  <si>
    <t>Steve Ellis</t>
  </si>
  <si>
    <t>Slawomir Maniak</t>
  </si>
  <si>
    <t>Randy Vargas</t>
  </si>
  <si>
    <t>Tiffany Turrill</t>
  </si>
  <si>
    <t>Drew Baker</t>
  </si>
  <si>
    <t>Ioannis Fiore</t>
  </si>
  <si>
    <t>Warren Mahy</t>
  </si>
  <si>
    <t>Iris Compiet</t>
  </si>
  <si>
    <t>Daniel Zrom</t>
  </si>
  <si>
    <t>Evyn Fong</t>
  </si>
  <si>
    <t>Ben Hill</t>
  </si>
  <si>
    <t>Yohann Schepacz</t>
  </si>
  <si>
    <t>John Tedrick</t>
  </si>
  <si>
    <t>Tyler Walpole</t>
  </si>
  <si>
    <t>Jason A. Engle</t>
  </si>
  <si>
    <t>Steven Belledin</t>
  </si>
  <si>
    <t>Thomas M. Baxa</t>
  </si>
  <si>
    <t>Jeff Laubenstein</t>
  </si>
  <si>
    <t>Igor Krstic</t>
  </si>
  <si>
    <t>Aurore Folny</t>
  </si>
  <si>
    <t>Annie Stegg</t>
  </si>
  <si>
    <t>Jake Murray</t>
  </si>
  <si>
    <t>Caio Monteiro</t>
  </si>
  <si>
    <t>Lauren K. Cannon</t>
  </si>
  <si>
    <t>Wylie Beckert</t>
  </si>
  <si>
    <t>Danny Schwartz</t>
  </si>
  <si>
    <t>Gustavo Pelissari</t>
  </si>
  <si>
    <t>Aldo Domínguez</t>
  </si>
  <si>
    <t>Jabari Weathers</t>
  </si>
  <si>
    <t>Vincent Christiaens</t>
  </si>
  <si>
    <t>Forrest Schehl</t>
  </si>
  <si>
    <t>Omar Rayyan</t>
  </si>
  <si>
    <t>Ron Spears</t>
  </si>
  <si>
    <t>Karl Kopinski</t>
  </si>
  <si>
    <t>Justin Gerard</t>
  </si>
  <si>
    <t>Ralph Horsley</t>
  </si>
  <si>
    <t>Loïc Canavaggia</t>
  </si>
  <si>
    <t>Deborah Garcia</t>
  </si>
  <si>
    <t>Jesper Ejsing</t>
  </si>
  <si>
    <t>Raph Lomotan</t>
  </si>
  <si>
    <t>Adrián Rodríguez Pérez</t>
  </si>
  <si>
    <t>Olivier Bernard</t>
  </si>
  <si>
    <t>Dominik Mayer</t>
  </si>
  <si>
    <t>Tommy Arnold</t>
  </si>
  <si>
    <t>Heather Hudson</t>
  </si>
  <si>
    <t>Randy Gallegos</t>
  </si>
  <si>
    <t>Lorenzo Mastroianni</t>
  </si>
  <si>
    <t>Aaron Miller</t>
  </si>
  <si>
    <t>Chuck Lukacs</t>
  </si>
  <si>
    <t>Jim Pavelec</t>
  </si>
  <si>
    <t>Joshua Raphael</t>
  </si>
  <si>
    <t>Lars Grant-West</t>
  </si>
  <si>
    <t>Xabi Gaztelua</t>
  </si>
  <si>
    <t>Kai Carpenter</t>
  </si>
  <si>
    <t>Scott Murphy</t>
  </si>
  <si>
    <t>Mark Zug</t>
  </si>
  <si>
    <t>Chris Seaman</t>
  </si>
  <si>
    <t>Cory Godbey</t>
  </si>
  <si>
    <t>Scott Gustafson</t>
  </si>
  <si>
    <t>Matt Stewart</t>
  </si>
  <si>
    <t>Eelis Kyttanen</t>
  </si>
  <si>
    <t>Ryan Pancoast</t>
  </si>
  <si>
    <t>Volkan Baǵa</t>
  </si>
  <si>
    <t>Maxime Minard</t>
  </si>
  <si>
    <t>Sidharth Chaturvedi</t>
  </si>
  <si>
    <t>David Palumbo</t>
  </si>
  <si>
    <t>Wayne Reynolds</t>
  </si>
  <si>
    <t>A. M. Sartor</t>
  </si>
  <si>
    <t>Josiah "Jo" Cameron</t>
  </si>
  <si>
    <t>Kev Walker</t>
  </si>
  <si>
    <t>Alex Stone</t>
  </si>
  <si>
    <t>Richard Kane Ferguson</t>
  </si>
  <si>
    <t>Jacob Walker</t>
  </si>
  <si>
    <t>Chris Rahn</t>
  </si>
  <si>
    <t>Tran Nguyen</t>
  </si>
  <si>
    <t>Sam Guay</t>
  </si>
  <si>
    <t>Jakub Kasper</t>
  </si>
  <si>
    <t>Dan Frazier</t>
  </si>
  <si>
    <t>Alayna Danner</t>
  </si>
  <si>
    <t>Adam Paquette</t>
  </si>
  <si>
    <t>Raymond Bonilla</t>
  </si>
  <si>
    <t>Jason Mowry</t>
  </si>
  <si>
    <t>Lauren Degraaf</t>
  </si>
  <si>
    <t>Vanessa Gillings</t>
  </si>
  <si>
    <t>Matthew Forsythe</t>
  </si>
  <si>
    <t>Serena Malyon</t>
  </si>
  <si>
    <t>Heikala</t>
  </si>
  <si>
    <t>Yas Imamura</t>
  </si>
  <si>
    <t>adelinaillustration</t>
  </si>
  <si>
    <t>ID</t>
  </si>
  <si>
    <t>Qty (Foil)</t>
  </si>
  <si>
    <t>PurchasePrice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</si>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</sst>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934C70-3FA1-428F-8020-F7871D056242}" name="Collection" displayName="Collection" ref="A1:J237" totalsRowShown="0">
  <autoFilter ref="A1:J237" xr:uid="{2A934C70-3FA1-428F-8020-F7871D056242}"/>
  <tableColumns count="10">
    <tableColumn id="8" xr3:uid="{EB6A9F36-4215-4FCC-9743-82EFA18BFFF7}" name="ID">
      <calculatedColumnFormula>Collection[[#This Row],[Set]]&amp;"-"&amp;Collection[[#This Row],[CardNo]]</calculatedColumnFormula>
    </tableColumn>
    <tableColumn id="1" xr3:uid="{EBEFF46F-7640-4BCD-9833-77A791CFE7A3}" name="Set"/>
    <tableColumn id="2" xr3:uid="{3D296EDB-C7A9-459F-B617-4BB2CC531918}" name="CardNo"/>
    <tableColumn id="3" xr3:uid="{8AB7F491-1DC4-485A-9285-1F71C193D16A}" name="Name"/>
    <tableColumn id="4" xr3:uid="{D6F37616-9142-4E4E-85B0-9D53C4F9C064}" name="Artist"/>
    <tableColumn id="6" xr3:uid="{4409DB68-494C-4B4B-AF95-9EA5B61E519B}" name="Qty"/>
    <tableColumn id="10" xr3:uid="{AEB93CE5-635D-4E02-A9AD-746CAA73B129}" name="Qty (Foil)"/>
    <tableColumn id="7" xr3:uid="{4EBE0DA3-0031-4088-99B2-1AEC3DE01F94}" name="AcquisitionDate"/>
    <tableColumn id="11" xr3:uid="{DA6979B9-A7AE-478A-85B3-C33E0CCF6FDB}" name="PurchasePrice">
      <calculatedColumnFormula>229.46/30/15</calculatedColumnFormula>
    </tableColumn>
    <tableColumn id="12" xr3:uid="{5CA450B2-8C9A-4A1D-BC85-D01C30558BFF}" name="Notes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0EDA-15AE-430D-8DFE-C69DF94BCF45}">
  <dimension ref="A1:J237"/>
  <sheetViews>
    <sheetView tabSelected="1" workbookViewId="0">
      <selection activeCell="E6" sqref="E6"/>
    </sheetView>
  </sheetViews>
  <sheetFormatPr defaultRowHeight="15" x14ac:dyDescent="0.25"/>
  <cols>
    <col min="2" max="2" width="6.140625" customWidth="1"/>
    <col min="3" max="3" width="10" customWidth="1"/>
    <col min="4" max="4" width="45" bestFit="1" customWidth="1"/>
    <col min="5" max="5" width="21.7109375" bestFit="1" customWidth="1"/>
    <col min="7" max="7" width="11.5703125" bestFit="1" customWidth="1"/>
    <col min="8" max="8" width="17.85546875" bestFit="1" customWidth="1"/>
    <col min="9" max="9" width="16.28515625" bestFit="1" customWidth="1"/>
  </cols>
  <sheetData>
    <row r="1" spans="1:10" x14ac:dyDescent="0.25">
      <c r="A1" t="s">
        <v>339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340</v>
      </c>
      <c r="H1" t="s">
        <v>5</v>
      </c>
      <c r="I1" t="s">
        <v>341</v>
      </c>
      <c r="J1" t="s">
        <v>342</v>
      </c>
    </row>
    <row r="2" spans="1:10" x14ac:dyDescent="0.25">
      <c r="A2" t="str">
        <f>Collection[[#This Row],[Set]]&amp;"-"&amp;Collection[[#This Row],[CardNo]]</f>
        <v>ECL-1</v>
      </c>
      <c r="B2" t="s">
        <v>6</v>
      </c>
      <c r="C2">
        <v>1</v>
      </c>
      <c r="D2" t="s">
        <v>7</v>
      </c>
      <c r="E2" t="s">
        <v>228</v>
      </c>
      <c r="F2">
        <v>3</v>
      </c>
      <c r="H2" s="1">
        <v>46106</v>
      </c>
      <c r="I2" s="2">
        <f>229.46/30/15</f>
        <v>0.50991111111111109</v>
      </c>
    </row>
    <row r="3" spans="1:10" x14ac:dyDescent="0.25">
      <c r="A3" t="str">
        <f>Collection[[#This Row],[Set]]&amp;"-"&amp;Collection[[#This Row],[CardNo]]</f>
        <v>ECL-2</v>
      </c>
      <c r="B3" t="s">
        <v>6</v>
      </c>
      <c r="C3">
        <v>2</v>
      </c>
      <c r="D3" t="s">
        <v>8</v>
      </c>
      <c r="E3" t="s">
        <v>229</v>
      </c>
      <c r="F3">
        <v>3</v>
      </c>
      <c r="H3" s="1">
        <v>46106</v>
      </c>
      <c r="I3" s="2">
        <f t="shared" ref="I3:I66" si="0">229.46/30/15</f>
        <v>0.50991111111111109</v>
      </c>
    </row>
    <row r="4" spans="1:10" x14ac:dyDescent="0.25">
      <c r="A4" t="str">
        <f>Collection[[#This Row],[Set]]&amp;"-"&amp;Collection[[#This Row],[CardNo]]</f>
        <v>ECL-3</v>
      </c>
      <c r="B4" t="s">
        <v>6</v>
      </c>
      <c r="C4">
        <v>3</v>
      </c>
      <c r="D4" t="s">
        <v>9</v>
      </c>
      <c r="E4" t="s">
        <v>230</v>
      </c>
      <c r="F4">
        <v>1</v>
      </c>
      <c r="H4" s="1">
        <v>46106</v>
      </c>
      <c r="I4" s="2">
        <f t="shared" si="0"/>
        <v>0.50991111111111109</v>
      </c>
    </row>
    <row r="5" spans="1:10" x14ac:dyDescent="0.25">
      <c r="A5" t="str">
        <f>Collection[[#This Row],[Set]]&amp;"-"&amp;Collection[[#This Row],[CardNo]]</f>
        <v>ECL-4</v>
      </c>
      <c r="B5" t="s">
        <v>6</v>
      </c>
      <c r="C5">
        <v>4</v>
      </c>
      <c r="D5" t="s">
        <v>10</v>
      </c>
      <c r="E5" t="s">
        <v>231</v>
      </c>
      <c r="F5">
        <v>1</v>
      </c>
      <c r="H5" s="1">
        <v>46106</v>
      </c>
      <c r="I5" s="2">
        <f t="shared" si="0"/>
        <v>0.50991111111111109</v>
      </c>
    </row>
    <row r="6" spans="1:10" x14ac:dyDescent="0.25">
      <c r="A6" t="str">
        <f>Collection[[#This Row],[Set]]&amp;"-"&amp;Collection[[#This Row],[CardNo]]</f>
        <v>ECL-5</v>
      </c>
      <c r="B6" t="s">
        <v>6</v>
      </c>
      <c r="C6">
        <v>5</v>
      </c>
      <c r="D6" t="s">
        <v>11</v>
      </c>
      <c r="E6" t="s">
        <v>232</v>
      </c>
      <c r="F6">
        <v>3</v>
      </c>
      <c r="H6" s="1">
        <v>46106</v>
      </c>
      <c r="I6" s="2">
        <f t="shared" si="0"/>
        <v>0.50991111111111109</v>
      </c>
    </row>
    <row r="7" spans="1:10" x14ac:dyDescent="0.25">
      <c r="A7" t="str">
        <f>Collection[[#This Row],[Set]]&amp;"-"&amp;Collection[[#This Row],[CardNo]]</f>
        <v>ECL-6</v>
      </c>
      <c r="B7" t="s">
        <v>6</v>
      </c>
      <c r="C7">
        <v>6</v>
      </c>
      <c r="D7" t="s">
        <v>12</v>
      </c>
      <c r="E7" t="s">
        <v>233</v>
      </c>
      <c r="F7">
        <v>1</v>
      </c>
      <c r="H7" s="1">
        <v>46106</v>
      </c>
      <c r="I7" s="2">
        <f t="shared" si="0"/>
        <v>0.50991111111111109</v>
      </c>
    </row>
    <row r="8" spans="1:10" x14ac:dyDescent="0.25">
      <c r="A8" t="str">
        <f>Collection[[#This Row],[Set]]&amp;"-"&amp;Collection[[#This Row],[CardNo]]</f>
        <v>ECL-7</v>
      </c>
      <c r="B8" t="s">
        <v>6</v>
      </c>
      <c r="C8">
        <v>7</v>
      </c>
      <c r="D8" t="s">
        <v>13</v>
      </c>
      <c r="E8" t="s">
        <v>234</v>
      </c>
      <c r="F8">
        <v>1</v>
      </c>
      <c r="H8" s="1">
        <v>46106</v>
      </c>
      <c r="I8" s="2">
        <f t="shared" si="0"/>
        <v>0.50991111111111109</v>
      </c>
    </row>
    <row r="9" spans="1:10" x14ac:dyDescent="0.25">
      <c r="A9" t="str">
        <f>Collection[[#This Row],[Set]]&amp;"-"&amp;Collection[[#This Row],[CardNo]]</f>
        <v>ECL-8</v>
      </c>
      <c r="B9" t="s">
        <v>6</v>
      </c>
      <c r="C9">
        <v>8</v>
      </c>
      <c r="D9" t="s">
        <v>14</v>
      </c>
      <c r="E9" t="s">
        <v>235</v>
      </c>
      <c r="F9">
        <v>1</v>
      </c>
      <c r="H9" s="1">
        <v>46106</v>
      </c>
      <c r="I9" s="2">
        <f t="shared" si="0"/>
        <v>0.50991111111111109</v>
      </c>
    </row>
    <row r="10" spans="1:10" x14ac:dyDescent="0.25">
      <c r="A10" t="str">
        <f>Collection[[#This Row],[Set]]&amp;"-"&amp;Collection[[#This Row],[CardNo]]</f>
        <v>ECL-10</v>
      </c>
      <c r="B10" t="s">
        <v>6</v>
      </c>
      <c r="C10">
        <v>10</v>
      </c>
      <c r="D10" t="s">
        <v>15</v>
      </c>
      <c r="E10" t="s">
        <v>236</v>
      </c>
      <c r="F10">
        <v>1</v>
      </c>
      <c r="H10" s="1">
        <v>46106</v>
      </c>
      <c r="I10" s="2">
        <f t="shared" si="0"/>
        <v>0.50991111111111109</v>
      </c>
    </row>
    <row r="11" spans="1:10" x14ac:dyDescent="0.25">
      <c r="A11" t="str">
        <f>Collection[[#This Row],[Set]]&amp;"-"&amp;Collection[[#This Row],[CardNo]]</f>
        <v>ECL-11</v>
      </c>
      <c r="B11" t="s">
        <v>6</v>
      </c>
      <c r="C11">
        <v>11</v>
      </c>
      <c r="D11" t="s">
        <v>16</v>
      </c>
      <c r="E11" t="s">
        <v>237</v>
      </c>
      <c r="F11">
        <v>1</v>
      </c>
      <c r="H11" s="1">
        <v>46106</v>
      </c>
      <c r="I11" s="2">
        <f t="shared" si="0"/>
        <v>0.50991111111111109</v>
      </c>
    </row>
    <row r="12" spans="1:10" x14ac:dyDescent="0.25">
      <c r="A12" t="str">
        <f>Collection[[#This Row],[Set]]&amp;"-"&amp;Collection[[#This Row],[CardNo]]</f>
        <v>ECL-12</v>
      </c>
      <c r="B12" t="s">
        <v>6</v>
      </c>
      <c r="C12">
        <v>12</v>
      </c>
      <c r="D12" t="s">
        <v>17</v>
      </c>
      <c r="E12" t="s">
        <v>238</v>
      </c>
      <c r="F12">
        <v>1</v>
      </c>
      <c r="H12" s="1">
        <v>46106</v>
      </c>
      <c r="I12" s="2">
        <f t="shared" si="0"/>
        <v>0.50991111111111109</v>
      </c>
    </row>
    <row r="13" spans="1:10" x14ac:dyDescent="0.25">
      <c r="A13" t="str">
        <f>Collection[[#This Row],[Set]]&amp;"-"&amp;Collection[[#This Row],[CardNo]]</f>
        <v>ECL-13</v>
      </c>
      <c r="B13" t="s">
        <v>6</v>
      </c>
      <c r="C13">
        <v>13</v>
      </c>
      <c r="D13" t="s">
        <v>18</v>
      </c>
      <c r="E13" t="s">
        <v>239</v>
      </c>
      <c r="F13">
        <v>1</v>
      </c>
      <c r="H13" s="1">
        <v>46106</v>
      </c>
      <c r="I13" s="2">
        <f t="shared" si="0"/>
        <v>0.50991111111111109</v>
      </c>
    </row>
    <row r="14" spans="1:10" x14ac:dyDescent="0.25">
      <c r="A14" t="str">
        <f>Collection[[#This Row],[Set]]&amp;"-"&amp;Collection[[#This Row],[CardNo]]</f>
        <v>ECL-14</v>
      </c>
      <c r="B14" t="s">
        <v>6</v>
      </c>
      <c r="C14">
        <v>14</v>
      </c>
      <c r="D14" t="s">
        <v>19</v>
      </c>
      <c r="E14" t="s">
        <v>240</v>
      </c>
      <c r="F14">
        <v>1</v>
      </c>
      <c r="H14" s="1">
        <v>46106</v>
      </c>
      <c r="I14" s="2">
        <f t="shared" si="0"/>
        <v>0.50991111111111109</v>
      </c>
    </row>
    <row r="15" spans="1:10" x14ac:dyDescent="0.25">
      <c r="A15" t="str">
        <f>Collection[[#This Row],[Set]]&amp;"-"&amp;Collection[[#This Row],[CardNo]]</f>
        <v>ECL-15</v>
      </c>
      <c r="B15" t="s">
        <v>6</v>
      </c>
      <c r="C15">
        <v>15</v>
      </c>
      <c r="D15" t="s">
        <v>20</v>
      </c>
      <c r="E15" t="s">
        <v>241</v>
      </c>
      <c r="F15">
        <v>2</v>
      </c>
      <c r="H15" s="1">
        <v>46106</v>
      </c>
      <c r="I15" s="2">
        <f t="shared" si="0"/>
        <v>0.50991111111111109</v>
      </c>
    </row>
    <row r="16" spans="1:10" x14ac:dyDescent="0.25">
      <c r="A16" t="str">
        <f>Collection[[#This Row],[Set]]&amp;"-"&amp;Collection[[#This Row],[CardNo]]</f>
        <v>ECL-16</v>
      </c>
      <c r="B16" t="s">
        <v>6</v>
      </c>
      <c r="C16">
        <v>16</v>
      </c>
      <c r="D16" t="s">
        <v>21</v>
      </c>
      <c r="E16" t="s">
        <v>242</v>
      </c>
      <c r="F16">
        <v>1</v>
      </c>
      <c r="G16">
        <v>1</v>
      </c>
      <c r="H16" s="1">
        <v>46106</v>
      </c>
      <c r="I16" s="2">
        <f t="shared" si="0"/>
        <v>0.50991111111111109</v>
      </c>
    </row>
    <row r="17" spans="1:9" x14ac:dyDescent="0.25">
      <c r="A17" t="str">
        <f>Collection[[#This Row],[Set]]&amp;"-"&amp;Collection[[#This Row],[CardNo]]</f>
        <v>ECL-17</v>
      </c>
      <c r="B17" t="s">
        <v>6</v>
      </c>
      <c r="C17">
        <v>17</v>
      </c>
      <c r="D17" t="s">
        <v>22</v>
      </c>
      <c r="E17" t="s">
        <v>243</v>
      </c>
      <c r="F17">
        <v>4</v>
      </c>
      <c r="H17" s="1">
        <v>46106</v>
      </c>
      <c r="I17" s="2">
        <f t="shared" si="0"/>
        <v>0.50991111111111109</v>
      </c>
    </row>
    <row r="18" spans="1:9" x14ac:dyDescent="0.25">
      <c r="A18" t="str">
        <f>Collection[[#This Row],[Set]]&amp;"-"&amp;Collection[[#This Row],[CardNo]]</f>
        <v>ECL-18</v>
      </c>
      <c r="B18" t="s">
        <v>6</v>
      </c>
      <c r="C18">
        <v>18</v>
      </c>
      <c r="D18" t="s">
        <v>23</v>
      </c>
      <c r="E18" t="s">
        <v>244</v>
      </c>
      <c r="F18">
        <v>4</v>
      </c>
      <c r="H18" s="1">
        <v>46106</v>
      </c>
      <c r="I18" s="2">
        <f t="shared" si="0"/>
        <v>0.50991111111111109</v>
      </c>
    </row>
    <row r="19" spans="1:9" x14ac:dyDescent="0.25">
      <c r="A19" t="str">
        <f>Collection[[#This Row],[Set]]&amp;"-"&amp;Collection[[#This Row],[CardNo]]</f>
        <v>ECL-19</v>
      </c>
      <c r="B19" t="s">
        <v>6</v>
      </c>
      <c r="C19">
        <v>19</v>
      </c>
      <c r="D19" t="s">
        <v>24</v>
      </c>
      <c r="E19" t="s">
        <v>245</v>
      </c>
      <c r="F19">
        <v>3</v>
      </c>
      <c r="H19" s="1">
        <v>46106</v>
      </c>
      <c r="I19" s="2">
        <f t="shared" si="0"/>
        <v>0.50991111111111109</v>
      </c>
    </row>
    <row r="20" spans="1:9" x14ac:dyDescent="0.25">
      <c r="A20" t="str">
        <f>Collection[[#This Row],[Set]]&amp;"-"&amp;Collection[[#This Row],[CardNo]]</f>
        <v>ECL-21</v>
      </c>
      <c r="B20" t="s">
        <v>6</v>
      </c>
      <c r="C20">
        <v>21</v>
      </c>
      <c r="D20" t="s">
        <v>25</v>
      </c>
      <c r="E20" t="s">
        <v>246</v>
      </c>
      <c r="F20">
        <v>1</v>
      </c>
      <c r="H20" s="1">
        <v>46106</v>
      </c>
      <c r="I20" s="2">
        <f t="shared" si="0"/>
        <v>0.50991111111111109</v>
      </c>
    </row>
    <row r="21" spans="1:9" x14ac:dyDescent="0.25">
      <c r="A21" t="str">
        <f>Collection[[#This Row],[Set]]&amp;"-"&amp;Collection[[#This Row],[CardNo]]</f>
        <v>ECL-22</v>
      </c>
      <c r="B21" t="s">
        <v>6</v>
      </c>
      <c r="C21">
        <v>22</v>
      </c>
      <c r="D21" t="s">
        <v>26</v>
      </c>
      <c r="E21" t="s">
        <v>236</v>
      </c>
      <c r="F21">
        <v>1</v>
      </c>
      <c r="H21" s="1">
        <v>46106</v>
      </c>
      <c r="I21" s="2">
        <f t="shared" si="0"/>
        <v>0.50991111111111109</v>
      </c>
    </row>
    <row r="22" spans="1:9" x14ac:dyDescent="0.25">
      <c r="A22" t="str">
        <f>Collection[[#This Row],[Set]]&amp;"-"&amp;Collection[[#This Row],[CardNo]]</f>
        <v>ECL-23</v>
      </c>
      <c r="B22" t="s">
        <v>6</v>
      </c>
      <c r="C22">
        <v>23</v>
      </c>
      <c r="D22" t="s">
        <v>27</v>
      </c>
      <c r="E22" t="s">
        <v>247</v>
      </c>
      <c r="F22">
        <v>1</v>
      </c>
      <c r="H22" s="1">
        <v>46106</v>
      </c>
      <c r="I22" s="2">
        <f t="shared" si="0"/>
        <v>0.50991111111111109</v>
      </c>
    </row>
    <row r="23" spans="1:9" x14ac:dyDescent="0.25">
      <c r="A23" t="str">
        <f>Collection[[#This Row],[Set]]&amp;"-"&amp;Collection[[#This Row],[CardNo]]</f>
        <v>ECL-24</v>
      </c>
      <c r="B23" t="s">
        <v>6</v>
      </c>
      <c r="C23">
        <v>24</v>
      </c>
      <c r="D23" t="s">
        <v>28</v>
      </c>
      <c r="E23" t="s">
        <v>248</v>
      </c>
      <c r="F23">
        <v>3</v>
      </c>
      <c r="H23" s="1">
        <v>46106</v>
      </c>
      <c r="I23" s="2">
        <f t="shared" si="0"/>
        <v>0.50991111111111109</v>
      </c>
    </row>
    <row r="24" spans="1:9" x14ac:dyDescent="0.25">
      <c r="A24" t="str">
        <f>Collection[[#This Row],[Set]]&amp;"-"&amp;Collection[[#This Row],[CardNo]]</f>
        <v>ECL-25</v>
      </c>
      <c r="B24" t="s">
        <v>6</v>
      </c>
      <c r="C24">
        <v>25</v>
      </c>
      <c r="D24" t="s">
        <v>29</v>
      </c>
      <c r="E24" t="s">
        <v>249</v>
      </c>
      <c r="F24">
        <v>1</v>
      </c>
      <c r="H24" s="1">
        <v>46106</v>
      </c>
      <c r="I24" s="2">
        <f t="shared" si="0"/>
        <v>0.50991111111111109</v>
      </c>
    </row>
    <row r="25" spans="1:9" x14ac:dyDescent="0.25">
      <c r="A25" t="str">
        <f>Collection[[#This Row],[Set]]&amp;"-"&amp;Collection[[#This Row],[CardNo]]</f>
        <v>ECL-26</v>
      </c>
      <c r="B25" t="s">
        <v>6</v>
      </c>
      <c r="C25">
        <v>26</v>
      </c>
      <c r="D25" t="s">
        <v>30</v>
      </c>
      <c r="E25" t="s">
        <v>250</v>
      </c>
      <c r="F25">
        <v>2</v>
      </c>
      <c r="H25" s="1">
        <v>46106</v>
      </c>
      <c r="I25" s="2">
        <f t="shared" si="0"/>
        <v>0.50991111111111109</v>
      </c>
    </row>
    <row r="26" spans="1:9" x14ac:dyDescent="0.25">
      <c r="A26" t="str">
        <f>Collection[[#This Row],[Set]]&amp;"-"&amp;Collection[[#This Row],[CardNo]]</f>
        <v>ECL-28</v>
      </c>
      <c r="B26" t="s">
        <v>6</v>
      </c>
      <c r="C26">
        <v>28</v>
      </c>
      <c r="D26" t="s">
        <v>31</v>
      </c>
      <c r="E26" t="s">
        <v>251</v>
      </c>
      <c r="F26">
        <v>1</v>
      </c>
      <c r="H26" s="1">
        <v>46106</v>
      </c>
      <c r="I26" s="2">
        <f t="shared" si="0"/>
        <v>0.50991111111111109</v>
      </c>
    </row>
    <row r="27" spans="1:9" x14ac:dyDescent="0.25">
      <c r="A27" t="str">
        <f>Collection[[#This Row],[Set]]&amp;"-"&amp;Collection[[#This Row],[CardNo]]</f>
        <v>ECL-30</v>
      </c>
      <c r="B27" t="s">
        <v>6</v>
      </c>
      <c r="C27">
        <v>30</v>
      </c>
      <c r="D27" t="s">
        <v>32</v>
      </c>
      <c r="E27" t="s">
        <v>252</v>
      </c>
      <c r="F27">
        <v>1</v>
      </c>
      <c r="H27" s="1">
        <v>46106</v>
      </c>
      <c r="I27" s="2">
        <f t="shared" si="0"/>
        <v>0.50991111111111109</v>
      </c>
    </row>
    <row r="28" spans="1:9" x14ac:dyDescent="0.25">
      <c r="A28" t="str">
        <f>Collection[[#This Row],[Set]]&amp;"-"&amp;Collection[[#This Row],[CardNo]]</f>
        <v>ECL-31</v>
      </c>
      <c r="B28" t="s">
        <v>6</v>
      </c>
      <c r="C28">
        <v>31</v>
      </c>
      <c r="D28" t="s">
        <v>33</v>
      </c>
      <c r="E28" t="s">
        <v>244</v>
      </c>
      <c r="F28">
        <v>3</v>
      </c>
      <c r="H28" s="1">
        <v>46106</v>
      </c>
      <c r="I28" s="2">
        <f t="shared" si="0"/>
        <v>0.50991111111111109</v>
      </c>
    </row>
    <row r="29" spans="1:9" x14ac:dyDescent="0.25">
      <c r="A29" t="str">
        <f>Collection[[#This Row],[Set]]&amp;"-"&amp;Collection[[#This Row],[CardNo]]</f>
        <v>ECL-33</v>
      </c>
      <c r="B29" t="s">
        <v>6</v>
      </c>
      <c r="C29">
        <v>33</v>
      </c>
      <c r="D29" t="s">
        <v>34</v>
      </c>
      <c r="E29" t="s">
        <v>239</v>
      </c>
      <c r="F29">
        <v>2</v>
      </c>
      <c r="G29">
        <v>1</v>
      </c>
      <c r="H29" s="1">
        <v>46106</v>
      </c>
      <c r="I29" s="2">
        <f t="shared" si="0"/>
        <v>0.50991111111111109</v>
      </c>
    </row>
    <row r="30" spans="1:9" x14ac:dyDescent="0.25">
      <c r="A30" t="str">
        <f>Collection[[#This Row],[Set]]&amp;"-"&amp;Collection[[#This Row],[CardNo]]</f>
        <v>ECL-34</v>
      </c>
      <c r="B30" t="s">
        <v>6</v>
      </c>
      <c r="C30">
        <v>34</v>
      </c>
      <c r="D30" t="s">
        <v>35</v>
      </c>
      <c r="E30" t="s">
        <v>253</v>
      </c>
      <c r="F30">
        <v>4</v>
      </c>
      <c r="H30" s="1">
        <v>46106</v>
      </c>
      <c r="I30" s="2">
        <f t="shared" si="0"/>
        <v>0.50991111111111109</v>
      </c>
    </row>
    <row r="31" spans="1:9" x14ac:dyDescent="0.25">
      <c r="A31" t="str">
        <f>Collection[[#This Row],[Set]]&amp;"-"&amp;Collection[[#This Row],[CardNo]]</f>
        <v>ECL-36</v>
      </c>
      <c r="B31" t="s">
        <v>6</v>
      </c>
      <c r="C31">
        <v>36</v>
      </c>
      <c r="D31" t="s">
        <v>36</v>
      </c>
      <c r="E31" t="s">
        <v>254</v>
      </c>
      <c r="F31">
        <v>3</v>
      </c>
      <c r="G31">
        <v>1</v>
      </c>
      <c r="H31" s="1">
        <v>46106</v>
      </c>
      <c r="I31" s="2">
        <f t="shared" si="0"/>
        <v>0.50991111111111109</v>
      </c>
    </row>
    <row r="32" spans="1:9" x14ac:dyDescent="0.25">
      <c r="A32" t="str">
        <f>Collection[[#This Row],[Set]]&amp;"-"&amp;Collection[[#This Row],[CardNo]]</f>
        <v>ECL-37</v>
      </c>
      <c r="B32" t="s">
        <v>6</v>
      </c>
      <c r="C32">
        <v>37</v>
      </c>
      <c r="D32" t="s">
        <v>37</v>
      </c>
      <c r="E32" t="s">
        <v>250</v>
      </c>
      <c r="F32">
        <v>3</v>
      </c>
      <c r="H32" s="1">
        <v>46106</v>
      </c>
      <c r="I32" s="2">
        <f t="shared" si="0"/>
        <v>0.50991111111111109</v>
      </c>
    </row>
    <row r="33" spans="1:9" x14ac:dyDescent="0.25">
      <c r="A33" t="str">
        <f>Collection[[#This Row],[Set]]&amp;"-"&amp;Collection[[#This Row],[CardNo]]</f>
        <v>ECL-38</v>
      </c>
      <c r="B33" t="s">
        <v>6</v>
      </c>
      <c r="C33">
        <v>38</v>
      </c>
      <c r="D33" t="s">
        <v>38</v>
      </c>
      <c r="E33" t="s">
        <v>255</v>
      </c>
      <c r="F33">
        <v>3</v>
      </c>
      <c r="H33" s="1">
        <v>46106</v>
      </c>
      <c r="I33" s="2">
        <f t="shared" si="0"/>
        <v>0.50991111111111109</v>
      </c>
    </row>
    <row r="34" spans="1:9" x14ac:dyDescent="0.25">
      <c r="A34" t="str">
        <f>Collection[[#This Row],[Set]]&amp;"-"&amp;Collection[[#This Row],[CardNo]]</f>
        <v>ECL-39</v>
      </c>
      <c r="B34" t="s">
        <v>6</v>
      </c>
      <c r="C34">
        <v>39</v>
      </c>
      <c r="D34" t="s">
        <v>39</v>
      </c>
      <c r="E34" t="s">
        <v>243</v>
      </c>
      <c r="F34">
        <v>3</v>
      </c>
      <c r="G34">
        <v>1</v>
      </c>
      <c r="H34" s="1">
        <v>46106</v>
      </c>
      <c r="I34" s="2">
        <f t="shared" si="0"/>
        <v>0.50991111111111109</v>
      </c>
    </row>
    <row r="35" spans="1:9" x14ac:dyDescent="0.25">
      <c r="A35" t="str">
        <f>Collection[[#This Row],[Set]]&amp;"-"&amp;Collection[[#This Row],[CardNo]]</f>
        <v>ECL-40</v>
      </c>
      <c r="B35" t="s">
        <v>6</v>
      </c>
      <c r="C35">
        <v>40</v>
      </c>
      <c r="D35" t="s">
        <v>40</v>
      </c>
      <c r="E35" t="s">
        <v>253</v>
      </c>
      <c r="F35">
        <v>2</v>
      </c>
      <c r="H35" s="1">
        <v>46106</v>
      </c>
      <c r="I35" s="2">
        <f t="shared" si="0"/>
        <v>0.50991111111111109</v>
      </c>
    </row>
    <row r="36" spans="1:9" x14ac:dyDescent="0.25">
      <c r="A36" t="str">
        <f>Collection[[#This Row],[Set]]&amp;"-"&amp;Collection[[#This Row],[CardNo]]</f>
        <v>ECL-41</v>
      </c>
      <c r="B36" t="s">
        <v>6</v>
      </c>
      <c r="C36">
        <v>41</v>
      </c>
      <c r="D36" t="s">
        <v>41</v>
      </c>
      <c r="E36" t="s">
        <v>256</v>
      </c>
      <c r="F36">
        <v>5</v>
      </c>
      <c r="G36">
        <v>1</v>
      </c>
      <c r="H36" s="1">
        <v>46106</v>
      </c>
      <c r="I36" s="2">
        <f t="shared" si="0"/>
        <v>0.50991111111111109</v>
      </c>
    </row>
    <row r="37" spans="1:9" x14ac:dyDescent="0.25">
      <c r="A37" t="str">
        <f>Collection[[#This Row],[Set]]&amp;"-"&amp;Collection[[#This Row],[CardNo]]</f>
        <v>ECL-42</v>
      </c>
      <c r="B37" t="s">
        <v>6</v>
      </c>
      <c r="C37">
        <v>42</v>
      </c>
      <c r="D37" t="s">
        <v>42</v>
      </c>
      <c r="E37" t="s">
        <v>257</v>
      </c>
      <c r="F37">
        <v>2</v>
      </c>
      <c r="H37" s="1">
        <v>46106</v>
      </c>
      <c r="I37" s="2">
        <f t="shared" si="0"/>
        <v>0.50991111111111109</v>
      </c>
    </row>
    <row r="38" spans="1:9" x14ac:dyDescent="0.25">
      <c r="A38" t="str">
        <f>Collection[[#This Row],[Set]]&amp;"-"&amp;Collection[[#This Row],[CardNo]]</f>
        <v>ECL-44</v>
      </c>
      <c r="B38" t="s">
        <v>6</v>
      </c>
      <c r="C38">
        <v>44</v>
      </c>
      <c r="D38" t="s">
        <v>43</v>
      </c>
      <c r="E38" t="s">
        <v>255</v>
      </c>
      <c r="F38">
        <v>3</v>
      </c>
      <c r="G38">
        <v>2</v>
      </c>
      <c r="H38" s="1">
        <v>46106</v>
      </c>
      <c r="I38" s="2">
        <f t="shared" si="0"/>
        <v>0.50991111111111109</v>
      </c>
    </row>
    <row r="39" spans="1:9" x14ac:dyDescent="0.25">
      <c r="A39" t="str">
        <f>Collection[[#This Row],[Set]]&amp;"-"&amp;Collection[[#This Row],[CardNo]]</f>
        <v>ECL-45</v>
      </c>
      <c r="B39" t="s">
        <v>6</v>
      </c>
      <c r="C39">
        <v>45</v>
      </c>
      <c r="D39" t="s">
        <v>44</v>
      </c>
      <c r="E39" t="s">
        <v>241</v>
      </c>
      <c r="F39">
        <v>3</v>
      </c>
      <c r="H39" s="1">
        <v>46106</v>
      </c>
      <c r="I39" s="2">
        <f t="shared" si="0"/>
        <v>0.50991111111111109</v>
      </c>
    </row>
    <row r="40" spans="1:9" x14ac:dyDescent="0.25">
      <c r="A40" t="str">
        <f>Collection[[#This Row],[Set]]&amp;"-"&amp;Collection[[#This Row],[CardNo]]</f>
        <v>ECL-46</v>
      </c>
      <c r="B40" t="s">
        <v>6</v>
      </c>
      <c r="C40">
        <v>46</v>
      </c>
      <c r="D40" t="s">
        <v>45</v>
      </c>
      <c r="E40" t="s">
        <v>258</v>
      </c>
      <c r="F40">
        <v>1</v>
      </c>
      <c r="H40" s="1">
        <v>46106</v>
      </c>
      <c r="I40" s="2">
        <f t="shared" si="0"/>
        <v>0.50991111111111109</v>
      </c>
    </row>
    <row r="41" spans="1:9" x14ac:dyDescent="0.25">
      <c r="A41" t="str">
        <f>Collection[[#This Row],[Set]]&amp;"-"&amp;Collection[[#This Row],[CardNo]]</f>
        <v>ECL-47</v>
      </c>
      <c r="B41" t="s">
        <v>6</v>
      </c>
      <c r="C41">
        <v>47</v>
      </c>
      <c r="D41" t="s">
        <v>46</v>
      </c>
      <c r="E41" t="s">
        <v>230</v>
      </c>
      <c r="F41">
        <v>1</v>
      </c>
      <c r="H41" s="1">
        <v>46106</v>
      </c>
      <c r="I41" s="2">
        <f t="shared" si="0"/>
        <v>0.50991111111111109</v>
      </c>
    </row>
    <row r="42" spans="1:9" x14ac:dyDescent="0.25">
      <c r="A42" t="str">
        <f>Collection[[#This Row],[Set]]&amp;"-"&amp;Collection[[#This Row],[CardNo]]</f>
        <v>ECL-48</v>
      </c>
      <c r="B42" t="s">
        <v>6</v>
      </c>
      <c r="C42">
        <v>48</v>
      </c>
      <c r="D42" t="s">
        <v>47</v>
      </c>
      <c r="E42" t="s">
        <v>259</v>
      </c>
      <c r="F42">
        <v>1</v>
      </c>
      <c r="H42" s="1">
        <v>46106</v>
      </c>
      <c r="I42" s="2">
        <f t="shared" si="0"/>
        <v>0.50991111111111109</v>
      </c>
    </row>
    <row r="43" spans="1:9" x14ac:dyDescent="0.25">
      <c r="A43" t="str">
        <f>Collection[[#This Row],[Set]]&amp;"-"&amp;Collection[[#This Row],[CardNo]]</f>
        <v>ECL-49</v>
      </c>
      <c r="B43" t="s">
        <v>6</v>
      </c>
      <c r="C43">
        <v>49</v>
      </c>
      <c r="D43" t="s">
        <v>48</v>
      </c>
      <c r="E43" t="s">
        <v>260</v>
      </c>
      <c r="F43">
        <v>1</v>
      </c>
      <c r="H43" s="1">
        <v>46106</v>
      </c>
      <c r="I43" s="2">
        <f t="shared" si="0"/>
        <v>0.50991111111111109</v>
      </c>
    </row>
    <row r="44" spans="1:9" x14ac:dyDescent="0.25">
      <c r="A44" t="str">
        <f>Collection[[#This Row],[Set]]&amp;"-"&amp;Collection[[#This Row],[CardNo]]</f>
        <v>ECL-50</v>
      </c>
      <c r="B44" t="s">
        <v>6</v>
      </c>
      <c r="C44">
        <v>50</v>
      </c>
      <c r="D44" t="s">
        <v>49</v>
      </c>
      <c r="E44" t="s">
        <v>230</v>
      </c>
      <c r="F44">
        <v>3</v>
      </c>
      <c r="H44" s="1">
        <v>46106</v>
      </c>
      <c r="I44" s="2">
        <f t="shared" si="0"/>
        <v>0.50991111111111109</v>
      </c>
    </row>
    <row r="45" spans="1:9" x14ac:dyDescent="0.25">
      <c r="A45" t="str">
        <f>Collection[[#This Row],[Set]]&amp;"-"&amp;Collection[[#This Row],[CardNo]]</f>
        <v>ECL-51</v>
      </c>
      <c r="B45" t="s">
        <v>6</v>
      </c>
      <c r="C45">
        <v>51</v>
      </c>
      <c r="D45" t="s">
        <v>50</v>
      </c>
      <c r="E45" t="s">
        <v>261</v>
      </c>
      <c r="F45">
        <v>2</v>
      </c>
      <c r="H45" s="1">
        <v>46106</v>
      </c>
      <c r="I45" s="2">
        <f t="shared" si="0"/>
        <v>0.50991111111111109</v>
      </c>
    </row>
    <row r="46" spans="1:9" x14ac:dyDescent="0.25">
      <c r="A46" t="str">
        <f>Collection[[#This Row],[Set]]&amp;"-"&amp;Collection[[#This Row],[CardNo]]</f>
        <v>ECL-53</v>
      </c>
      <c r="B46" t="s">
        <v>6</v>
      </c>
      <c r="C46">
        <v>53</v>
      </c>
      <c r="D46" t="s">
        <v>51</v>
      </c>
      <c r="E46" t="s">
        <v>262</v>
      </c>
      <c r="F46">
        <v>4</v>
      </c>
      <c r="H46" s="1">
        <v>46106</v>
      </c>
      <c r="I46" s="2">
        <f t="shared" si="0"/>
        <v>0.50991111111111109</v>
      </c>
    </row>
    <row r="47" spans="1:9" x14ac:dyDescent="0.25">
      <c r="A47" t="str">
        <f>Collection[[#This Row],[Set]]&amp;"-"&amp;Collection[[#This Row],[CardNo]]</f>
        <v>ECL-54</v>
      </c>
      <c r="B47" t="s">
        <v>6</v>
      </c>
      <c r="C47">
        <v>54</v>
      </c>
      <c r="D47" t="s">
        <v>52</v>
      </c>
      <c r="E47" t="s">
        <v>263</v>
      </c>
      <c r="F47">
        <v>1</v>
      </c>
      <c r="H47" s="1">
        <v>46106</v>
      </c>
      <c r="I47" s="2">
        <f t="shared" si="0"/>
        <v>0.50991111111111109</v>
      </c>
    </row>
    <row r="48" spans="1:9" x14ac:dyDescent="0.25">
      <c r="A48" t="str">
        <f>Collection[[#This Row],[Set]]&amp;"-"&amp;Collection[[#This Row],[CardNo]]</f>
        <v>ECL-55</v>
      </c>
      <c r="B48" t="s">
        <v>6</v>
      </c>
      <c r="C48">
        <v>55</v>
      </c>
      <c r="D48" t="s">
        <v>53</v>
      </c>
      <c r="E48" t="s">
        <v>234</v>
      </c>
      <c r="F48">
        <v>1</v>
      </c>
      <c r="H48" s="1">
        <v>46106</v>
      </c>
      <c r="I48" s="2">
        <f t="shared" si="0"/>
        <v>0.50991111111111109</v>
      </c>
    </row>
    <row r="49" spans="1:9" x14ac:dyDescent="0.25">
      <c r="A49" t="str">
        <f>Collection[[#This Row],[Set]]&amp;"-"&amp;Collection[[#This Row],[CardNo]]</f>
        <v>ECL-56</v>
      </c>
      <c r="B49" t="s">
        <v>6</v>
      </c>
      <c r="C49">
        <v>56</v>
      </c>
      <c r="D49" t="s">
        <v>54</v>
      </c>
      <c r="E49" t="s">
        <v>264</v>
      </c>
      <c r="F49">
        <v>3</v>
      </c>
      <c r="H49" s="1">
        <v>46106</v>
      </c>
      <c r="I49" s="2">
        <f t="shared" si="0"/>
        <v>0.50991111111111109</v>
      </c>
    </row>
    <row r="50" spans="1:9" x14ac:dyDescent="0.25">
      <c r="A50" t="str">
        <f>Collection[[#This Row],[Set]]&amp;"-"&amp;Collection[[#This Row],[CardNo]]</f>
        <v>ECL-58</v>
      </c>
      <c r="B50" t="s">
        <v>6</v>
      </c>
      <c r="C50">
        <v>58</v>
      </c>
      <c r="D50" t="s">
        <v>55</v>
      </c>
      <c r="E50" t="s">
        <v>265</v>
      </c>
      <c r="F50">
        <v>1</v>
      </c>
      <c r="H50" s="1">
        <v>46106</v>
      </c>
      <c r="I50" s="2">
        <f t="shared" si="0"/>
        <v>0.50991111111111109</v>
      </c>
    </row>
    <row r="51" spans="1:9" x14ac:dyDescent="0.25">
      <c r="A51" t="str">
        <f>Collection[[#This Row],[Set]]&amp;"-"&amp;Collection[[#This Row],[CardNo]]</f>
        <v>ECL-60</v>
      </c>
      <c r="B51" t="s">
        <v>6</v>
      </c>
      <c r="C51">
        <v>60</v>
      </c>
      <c r="D51" t="s">
        <v>56</v>
      </c>
      <c r="E51" t="s">
        <v>266</v>
      </c>
      <c r="F51">
        <v>1</v>
      </c>
      <c r="H51" s="1">
        <v>46106</v>
      </c>
      <c r="I51" s="2">
        <f t="shared" si="0"/>
        <v>0.50991111111111109</v>
      </c>
    </row>
    <row r="52" spans="1:9" x14ac:dyDescent="0.25">
      <c r="A52" t="str">
        <f>Collection[[#This Row],[Set]]&amp;"-"&amp;Collection[[#This Row],[CardNo]]</f>
        <v>ECL-62</v>
      </c>
      <c r="B52" t="s">
        <v>6</v>
      </c>
      <c r="C52">
        <v>62</v>
      </c>
      <c r="D52" t="s">
        <v>57</v>
      </c>
      <c r="E52" t="s">
        <v>267</v>
      </c>
      <c r="F52">
        <v>1</v>
      </c>
      <c r="G52">
        <v>1</v>
      </c>
      <c r="H52" s="1">
        <v>46106</v>
      </c>
      <c r="I52" s="2">
        <f t="shared" si="0"/>
        <v>0.50991111111111109</v>
      </c>
    </row>
    <row r="53" spans="1:9" x14ac:dyDescent="0.25">
      <c r="A53" t="str">
        <f>Collection[[#This Row],[Set]]&amp;"-"&amp;Collection[[#This Row],[CardNo]]</f>
        <v>ECL-63</v>
      </c>
      <c r="B53" t="s">
        <v>6</v>
      </c>
      <c r="C53">
        <v>63</v>
      </c>
      <c r="D53" t="s">
        <v>58</v>
      </c>
      <c r="E53" t="s">
        <v>249</v>
      </c>
      <c r="F53">
        <v>1</v>
      </c>
      <c r="H53" s="1">
        <v>46106</v>
      </c>
      <c r="I53" s="2">
        <f t="shared" si="0"/>
        <v>0.50991111111111109</v>
      </c>
    </row>
    <row r="54" spans="1:9" x14ac:dyDescent="0.25">
      <c r="A54" t="str">
        <f>Collection[[#This Row],[Set]]&amp;"-"&amp;Collection[[#This Row],[CardNo]]</f>
        <v>ECL-64</v>
      </c>
      <c r="B54" t="s">
        <v>6</v>
      </c>
      <c r="C54">
        <v>64</v>
      </c>
      <c r="D54" t="s">
        <v>59</v>
      </c>
      <c r="E54" t="s">
        <v>268</v>
      </c>
      <c r="F54">
        <v>1</v>
      </c>
      <c r="H54" s="1">
        <v>46106</v>
      </c>
      <c r="I54" s="2">
        <f t="shared" si="0"/>
        <v>0.50991111111111109</v>
      </c>
    </row>
    <row r="55" spans="1:9" x14ac:dyDescent="0.25">
      <c r="A55" t="str">
        <f>Collection[[#This Row],[Set]]&amp;"-"&amp;Collection[[#This Row],[CardNo]]</f>
        <v>ECL-65</v>
      </c>
      <c r="B55" t="s">
        <v>6</v>
      </c>
      <c r="C55">
        <v>65</v>
      </c>
      <c r="D55" t="s">
        <v>60</v>
      </c>
      <c r="E55" t="s">
        <v>233</v>
      </c>
      <c r="F55">
        <v>2</v>
      </c>
      <c r="H55" s="1">
        <v>46106</v>
      </c>
      <c r="I55" s="2">
        <f t="shared" si="0"/>
        <v>0.50991111111111109</v>
      </c>
    </row>
    <row r="56" spans="1:9" x14ac:dyDescent="0.25">
      <c r="A56" t="str">
        <f>Collection[[#This Row],[Set]]&amp;"-"&amp;Collection[[#This Row],[CardNo]]</f>
        <v>ECL-66</v>
      </c>
      <c r="B56" t="s">
        <v>6</v>
      </c>
      <c r="C56">
        <v>66</v>
      </c>
      <c r="D56" t="s">
        <v>61</v>
      </c>
      <c r="E56" t="s">
        <v>269</v>
      </c>
      <c r="F56">
        <v>2</v>
      </c>
      <c r="H56" s="1">
        <v>46106</v>
      </c>
      <c r="I56" s="2">
        <f t="shared" si="0"/>
        <v>0.50991111111111109</v>
      </c>
    </row>
    <row r="57" spans="1:9" x14ac:dyDescent="0.25">
      <c r="A57" t="str">
        <f>Collection[[#This Row],[Set]]&amp;"-"&amp;Collection[[#This Row],[CardNo]]</f>
        <v>ECL-67</v>
      </c>
      <c r="B57" t="s">
        <v>6</v>
      </c>
      <c r="C57">
        <v>67</v>
      </c>
      <c r="D57" t="s">
        <v>62</v>
      </c>
      <c r="E57" t="s">
        <v>270</v>
      </c>
      <c r="F57">
        <v>4</v>
      </c>
      <c r="H57" s="1">
        <v>46106</v>
      </c>
      <c r="I57" s="2">
        <f t="shared" si="0"/>
        <v>0.50991111111111109</v>
      </c>
    </row>
    <row r="58" spans="1:9" x14ac:dyDescent="0.25">
      <c r="A58" t="str">
        <f>Collection[[#This Row],[Set]]&amp;"-"&amp;Collection[[#This Row],[CardNo]]</f>
        <v>ECL-68</v>
      </c>
      <c r="B58" t="s">
        <v>6</v>
      </c>
      <c r="C58">
        <v>68</v>
      </c>
      <c r="D58" t="s">
        <v>63</v>
      </c>
      <c r="E58" t="s">
        <v>245</v>
      </c>
      <c r="F58">
        <v>2</v>
      </c>
      <c r="H58" s="1">
        <v>46106</v>
      </c>
      <c r="I58" s="2">
        <f t="shared" si="0"/>
        <v>0.50991111111111109</v>
      </c>
    </row>
    <row r="59" spans="1:9" x14ac:dyDescent="0.25">
      <c r="A59" t="str">
        <f>Collection[[#This Row],[Set]]&amp;"-"&amp;Collection[[#This Row],[CardNo]]</f>
        <v>ECL-69</v>
      </c>
      <c r="B59" t="s">
        <v>6</v>
      </c>
      <c r="C59">
        <v>69</v>
      </c>
      <c r="D59" t="s">
        <v>64</v>
      </c>
      <c r="E59" t="s">
        <v>257</v>
      </c>
      <c r="F59">
        <v>2</v>
      </c>
      <c r="H59" s="1">
        <v>46106</v>
      </c>
      <c r="I59" s="2">
        <f t="shared" si="0"/>
        <v>0.50991111111111109</v>
      </c>
    </row>
    <row r="60" spans="1:9" x14ac:dyDescent="0.25">
      <c r="A60" t="str">
        <f>Collection[[#This Row],[Set]]&amp;"-"&amp;Collection[[#This Row],[CardNo]]</f>
        <v>ECL-70</v>
      </c>
      <c r="B60" t="s">
        <v>6</v>
      </c>
      <c r="C60">
        <v>70</v>
      </c>
      <c r="D60" t="s">
        <v>65</v>
      </c>
      <c r="E60" t="s">
        <v>262</v>
      </c>
      <c r="F60">
        <v>3</v>
      </c>
      <c r="H60" s="1">
        <v>46106</v>
      </c>
      <c r="I60" s="2">
        <f t="shared" si="0"/>
        <v>0.50991111111111109</v>
      </c>
    </row>
    <row r="61" spans="1:9" x14ac:dyDescent="0.25">
      <c r="A61" t="str">
        <f>Collection[[#This Row],[Set]]&amp;"-"&amp;Collection[[#This Row],[CardNo]]</f>
        <v>ECL-71</v>
      </c>
      <c r="B61" t="s">
        <v>6</v>
      </c>
      <c r="C61">
        <v>71</v>
      </c>
      <c r="D61" t="s">
        <v>66</v>
      </c>
      <c r="E61" t="s">
        <v>257</v>
      </c>
      <c r="F61">
        <v>1</v>
      </c>
      <c r="H61" s="1">
        <v>46106</v>
      </c>
      <c r="I61" s="2">
        <f t="shared" si="0"/>
        <v>0.50991111111111109</v>
      </c>
    </row>
    <row r="62" spans="1:9" x14ac:dyDescent="0.25">
      <c r="A62" t="str">
        <f>Collection[[#This Row],[Set]]&amp;"-"&amp;Collection[[#This Row],[CardNo]]</f>
        <v>ECL-72</v>
      </c>
      <c r="B62" t="s">
        <v>6</v>
      </c>
      <c r="C62">
        <v>72</v>
      </c>
      <c r="D62" t="s">
        <v>67</v>
      </c>
      <c r="E62" t="s">
        <v>262</v>
      </c>
      <c r="F62">
        <v>2</v>
      </c>
      <c r="G62">
        <v>1</v>
      </c>
      <c r="H62" s="1">
        <v>46106</v>
      </c>
      <c r="I62" s="2">
        <f t="shared" si="0"/>
        <v>0.50991111111111109</v>
      </c>
    </row>
    <row r="63" spans="1:9" x14ac:dyDescent="0.25">
      <c r="A63" t="str">
        <f>Collection[[#This Row],[Set]]&amp;"-"&amp;Collection[[#This Row],[CardNo]]</f>
        <v>ECL-73</v>
      </c>
      <c r="B63" t="s">
        <v>6</v>
      </c>
      <c r="C63">
        <v>73</v>
      </c>
      <c r="D63" t="s">
        <v>68</v>
      </c>
      <c r="E63" t="s">
        <v>271</v>
      </c>
      <c r="F63">
        <v>2</v>
      </c>
      <c r="H63" s="1">
        <v>46106</v>
      </c>
      <c r="I63" s="2">
        <f t="shared" si="0"/>
        <v>0.50991111111111109</v>
      </c>
    </row>
    <row r="64" spans="1:9" x14ac:dyDescent="0.25">
      <c r="A64" t="str">
        <f>Collection[[#This Row],[Set]]&amp;"-"&amp;Collection[[#This Row],[CardNo]]</f>
        <v>ECL-74</v>
      </c>
      <c r="B64" t="s">
        <v>6</v>
      </c>
      <c r="C64">
        <v>74</v>
      </c>
      <c r="D64" t="s">
        <v>69</v>
      </c>
      <c r="E64" t="s">
        <v>272</v>
      </c>
      <c r="F64">
        <v>1</v>
      </c>
      <c r="H64" s="1">
        <v>46106</v>
      </c>
      <c r="I64" s="2">
        <f t="shared" si="0"/>
        <v>0.50991111111111109</v>
      </c>
    </row>
    <row r="65" spans="1:9" x14ac:dyDescent="0.25">
      <c r="A65" t="str">
        <f>Collection[[#This Row],[Set]]&amp;"-"&amp;Collection[[#This Row],[CardNo]]</f>
        <v>ECL-75</v>
      </c>
      <c r="B65" t="s">
        <v>6</v>
      </c>
      <c r="C65">
        <v>75</v>
      </c>
      <c r="D65" t="s">
        <v>70</v>
      </c>
      <c r="E65" t="s">
        <v>249</v>
      </c>
      <c r="F65">
        <v>1</v>
      </c>
      <c r="G65">
        <v>2</v>
      </c>
      <c r="H65" s="1">
        <v>46106</v>
      </c>
      <c r="I65" s="2">
        <f t="shared" si="0"/>
        <v>0.50991111111111109</v>
      </c>
    </row>
    <row r="66" spans="1:9" x14ac:dyDescent="0.25">
      <c r="A66" t="str">
        <f>Collection[[#This Row],[Set]]&amp;"-"&amp;Collection[[#This Row],[CardNo]]</f>
        <v>ECL-77</v>
      </c>
      <c r="B66" t="s">
        <v>6</v>
      </c>
      <c r="C66">
        <v>77</v>
      </c>
      <c r="D66" t="s">
        <v>71</v>
      </c>
      <c r="E66" t="s">
        <v>273</v>
      </c>
      <c r="F66">
        <v>1</v>
      </c>
      <c r="H66" s="1">
        <v>46106</v>
      </c>
      <c r="I66" s="2">
        <f t="shared" si="0"/>
        <v>0.50991111111111109</v>
      </c>
    </row>
    <row r="67" spans="1:9" x14ac:dyDescent="0.25">
      <c r="A67" t="str">
        <f>Collection[[#This Row],[Set]]&amp;"-"&amp;Collection[[#This Row],[CardNo]]</f>
        <v>ECL-78</v>
      </c>
      <c r="B67" t="s">
        <v>6</v>
      </c>
      <c r="C67">
        <v>78</v>
      </c>
      <c r="D67" t="s">
        <v>72</v>
      </c>
      <c r="E67" t="s">
        <v>274</v>
      </c>
      <c r="F67">
        <v>2</v>
      </c>
      <c r="G67">
        <v>1</v>
      </c>
      <c r="H67" s="1">
        <v>46106</v>
      </c>
      <c r="I67" s="2">
        <f t="shared" ref="I67:I130" si="1">229.46/30/15</f>
        <v>0.50991111111111109</v>
      </c>
    </row>
    <row r="68" spans="1:9" x14ac:dyDescent="0.25">
      <c r="A68" t="str">
        <f>Collection[[#This Row],[Set]]&amp;"-"&amp;Collection[[#This Row],[CardNo]]</f>
        <v>ECL-79</v>
      </c>
      <c r="B68" t="s">
        <v>6</v>
      </c>
      <c r="C68">
        <v>79</v>
      </c>
      <c r="D68" t="s">
        <v>73</v>
      </c>
      <c r="E68" t="s">
        <v>275</v>
      </c>
      <c r="F68">
        <v>2</v>
      </c>
      <c r="H68" s="1">
        <v>46106</v>
      </c>
      <c r="I68" s="2">
        <f t="shared" si="1"/>
        <v>0.50991111111111109</v>
      </c>
    </row>
    <row r="69" spans="1:9" x14ac:dyDescent="0.25">
      <c r="A69" t="str">
        <f>Collection[[#This Row],[Set]]&amp;"-"&amp;Collection[[#This Row],[CardNo]]</f>
        <v>ECL-80</v>
      </c>
      <c r="B69" t="s">
        <v>6</v>
      </c>
      <c r="C69">
        <v>80</v>
      </c>
      <c r="D69" t="s">
        <v>74</v>
      </c>
      <c r="E69" t="s">
        <v>276</v>
      </c>
      <c r="F69">
        <v>5</v>
      </c>
      <c r="H69" s="1">
        <v>46106</v>
      </c>
      <c r="I69" s="2">
        <f t="shared" si="1"/>
        <v>0.50991111111111109</v>
      </c>
    </row>
    <row r="70" spans="1:9" x14ac:dyDescent="0.25">
      <c r="A70" t="str">
        <f>Collection[[#This Row],[Set]]&amp;"-"&amp;Collection[[#This Row],[CardNo]]</f>
        <v>ECL-81</v>
      </c>
      <c r="B70" t="s">
        <v>6</v>
      </c>
      <c r="C70">
        <v>81</v>
      </c>
      <c r="D70" t="s">
        <v>75</v>
      </c>
      <c r="E70" t="s">
        <v>257</v>
      </c>
      <c r="F70">
        <v>1</v>
      </c>
      <c r="H70" s="1">
        <v>46106</v>
      </c>
      <c r="I70" s="2">
        <f t="shared" si="1"/>
        <v>0.50991111111111109</v>
      </c>
    </row>
    <row r="71" spans="1:9" x14ac:dyDescent="0.25">
      <c r="A71" t="str">
        <f>Collection[[#This Row],[Set]]&amp;"-"&amp;Collection[[#This Row],[CardNo]]</f>
        <v>ECL-82</v>
      </c>
      <c r="B71" t="s">
        <v>6</v>
      </c>
      <c r="C71">
        <v>82</v>
      </c>
      <c r="D71" t="s">
        <v>76</v>
      </c>
      <c r="E71" t="s">
        <v>256</v>
      </c>
      <c r="F71">
        <v>4</v>
      </c>
      <c r="H71" s="1">
        <v>46106</v>
      </c>
      <c r="I71" s="2">
        <f t="shared" si="1"/>
        <v>0.50991111111111109</v>
      </c>
    </row>
    <row r="72" spans="1:9" x14ac:dyDescent="0.25">
      <c r="A72" t="str">
        <f>Collection[[#This Row],[Set]]&amp;"-"&amp;Collection[[#This Row],[CardNo]]</f>
        <v>ECL-83</v>
      </c>
      <c r="B72" t="s">
        <v>6</v>
      </c>
      <c r="C72">
        <v>83</v>
      </c>
      <c r="D72" t="s">
        <v>77</v>
      </c>
      <c r="E72" t="s">
        <v>277</v>
      </c>
      <c r="F72">
        <v>1</v>
      </c>
      <c r="H72" s="1">
        <v>46106</v>
      </c>
      <c r="I72" s="2">
        <f t="shared" si="1"/>
        <v>0.50991111111111109</v>
      </c>
    </row>
    <row r="73" spans="1:9" x14ac:dyDescent="0.25">
      <c r="A73" t="str">
        <f>Collection[[#This Row],[Set]]&amp;"-"&amp;Collection[[#This Row],[CardNo]]</f>
        <v>ECL-84</v>
      </c>
      <c r="B73" t="s">
        <v>6</v>
      </c>
      <c r="C73">
        <v>84</v>
      </c>
      <c r="D73" t="s">
        <v>78</v>
      </c>
      <c r="E73" t="s">
        <v>278</v>
      </c>
      <c r="F73">
        <v>3</v>
      </c>
      <c r="H73" s="1">
        <v>46106</v>
      </c>
      <c r="I73" s="2">
        <f t="shared" si="1"/>
        <v>0.50991111111111109</v>
      </c>
    </row>
    <row r="74" spans="1:9" x14ac:dyDescent="0.25">
      <c r="A74" t="str">
        <f>Collection[[#This Row],[Set]]&amp;"-"&amp;Collection[[#This Row],[CardNo]]</f>
        <v>ECL-85</v>
      </c>
      <c r="B74" t="s">
        <v>6</v>
      </c>
      <c r="C74">
        <v>85</v>
      </c>
      <c r="D74" t="s">
        <v>79</v>
      </c>
      <c r="E74" t="s">
        <v>279</v>
      </c>
      <c r="F74">
        <v>3</v>
      </c>
      <c r="H74" s="1">
        <v>46106</v>
      </c>
      <c r="I74" s="2">
        <f t="shared" si="1"/>
        <v>0.50991111111111109</v>
      </c>
    </row>
    <row r="75" spans="1:9" x14ac:dyDescent="0.25">
      <c r="A75" t="str">
        <f>Collection[[#This Row],[Set]]&amp;"-"&amp;Collection[[#This Row],[CardNo]]</f>
        <v>ECL-86</v>
      </c>
      <c r="B75" t="s">
        <v>6</v>
      </c>
      <c r="C75">
        <v>86</v>
      </c>
      <c r="D75" t="s">
        <v>80</v>
      </c>
      <c r="E75" t="s">
        <v>256</v>
      </c>
      <c r="F75">
        <v>2</v>
      </c>
      <c r="G75">
        <v>1</v>
      </c>
      <c r="H75" s="1">
        <v>46106</v>
      </c>
      <c r="I75" s="2">
        <f t="shared" si="1"/>
        <v>0.50991111111111109</v>
      </c>
    </row>
    <row r="76" spans="1:9" x14ac:dyDescent="0.25">
      <c r="A76" t="str">
        <f>Collection[[#This Row],[Set]]&amp;"-"&amp;Collection[[#This Row],[CardNo]]</f>
        <v>ECL-87</v>
      </c>
      <c r="B76" t="s">
        <v>6</v>
      </c>
      <c r="C76">
        <v>87</v>
      </c>
      <c r="D76" t="s">
        <v>81</v>
      </c>
      <c r="E76" t="s">
        <v>251</v>
      </c>
      <c r="F76">
        <v>4</v>
      </c>
      <c r="H76" s="1">
        <v>46106</v>
      </c>
      <c r="I76" s="2">
        <f t="shared" si="1"/>
        <v>0.50991111111111109</v>
      </c>
    </row>
    <row r="77" spans="1:9" x14ac:dyDescent="0.25">
      <c r="A77" t="str">
        <f>Collection[[#This Row],[Set]]&amp;"-"&amp;Collection[[#This Row],[CardNo]]</f>
        <v>ECL-89</v>
      </c>
      <c r="B77" t="s">
        <v>6</v>
      </c>
      <c r="C77">
        <v>89</v>
      </c>
      <c r="D77" t="s">
        <v>82</v>
      </c>
      <c r="E77" t="s">
        <v>280</v>
      </c>
      <c r="F77">
        <v>3</v>
      </c>
      <c r="G77">
        <v>1</v>
      </c>
      <c r="H77" s="1">
        <v>46106</v>
      </c>
      <c r="I77" s="2">
        <f t="shared" si="1"/>
        <v>0.50991111111111109</v>
      </c>
    </row>
    <row r="78" spans="1:9" x14ac:dyDescent="0.25">
      <c r="A78" t="str">
        <f>Collection[[#This Row],[Set]]&amp;"-"&amp;Collection[[#This Row],[CardNo]]</f>
        <v>ECL-90</v>
      </c>
      <c r="B78" t="s">
        <v>6</v>
      </c>
      <c r="C78">
        <v>90</v>
      </c>
      <c r="D78" t="s">
        <v>83</v>
      </c>
      <c r="E78" t="s">
        <v>281</v>
      </c>
      <c r="F78">
        <v>2</v>
      </c>
      <c r="H78" s="1">
        <v>46106</v>
      </c>
      <c r="I78" s="2">
        <f t="shared" si="1"/>
        <v>0.50991111111111109</v>
      </c>
    </row>
    <row r="79" spans="1:9" x14ac:dyDescent="0.25">
      <c r="A79" t="str">
        <f>Collection[[#This Row],[Set]]&amp;"-"&amp;Collection[[#This Row],[CardNo]]</f>
        <v>ECL-92</v>
      </c>
      <c r="B79" t="s">
        <v>6</v>
      </c>
      <c r="C79">
        <v>92</v>
      </c>
      <c r="D79" t="s">
        <v>84</v>
      </c>
      <c r="E79" t="s">
        <v>282</v>
      </c>
      <c r="F79">
        <v>1</v>
      </c>
      <c r="H79" s="1">
        <v>46106</v>
      </c>
      <c r="I79" s="2">
        <f t="shared" si="1"/>
        <v>0.50991111111111109</v>
      </c>
    </row>
    <row r="80" spans="1:9" x14ac:dyDescent="0.25">
      <c r="A80" t="str">
        <f>Collection[[#This Row],[Set]]&amp;"-"&amp;Collection[[#This Row],[CardNo]]</f>
        <v>ECL-93</v>
      </c>
      <c r="B80" t="s">
        <v>6</v>
      </c>
      <c r="C80">
        <v>93</v>
      </c>
      <c r="D80" t="s">
        <v>85</v>
      </c>
      <c r="E80" t="s">
        <v>283</v>
      </c>
      <c r="F80">
        <v>5</v>
      </c>
      <c r="H80" s="1">
        <v>46106</v>
      </c>
      <c r="I80" s="2">
        <f t="shared" si="1"/>
        <v>0.50991111111111109</v>
      </c>
    </row>
    <row r="81" spans="1:9" x14ac:dyDescent="0.25">
      <c r="A81" t="str">
        <f>Collection[[#This Row],[Set]]&amp;"-"&amp;Collection[[#This Row],[CardNo]]</f>
        <v>ECL-94</v>
      </c>
      <c r="B81" t="s">
        <v>6</v>
      </c>
      <c r="C81">
        <v>94</v>
      </c>
      <c r="D81" t="s">
        <v>86</v>
      </c>
      <c r="E81" t="s">
        <v>284</v>
      </c>
      <c r="F81">
        <v>4</v>
      </c>
      <c r="H81" s="1">
        <v>46106</v>
      </c>
      <c r="I81" s="2">
        <f t="shared" si="1"/>
        <v>0.50991111111111109</v>
      </c>
    </row>
    <row r="82" spans="1:9" x14ac:dyDescent="0.25">
      <c r="A82" t="str">
        <f>Collection[[#This Row],[Set]]&amp;"-"&amp;Collection[[#This Row],[CardNo]]</f>
        <v>ECL-97</v>
      </c>
      <c r="B82" t="s">
        <v>6</v>
      </c>
      <c r="C82">
        <v>97</v>
      </c>
      <c r="D82" t="s">
        <v>87</v>
      </c>
      <c r="E82" t="s">
        <v>285</v>
      </c>
      <c r="F82">
        <v>2</v>
      </c>
      <c r="H82" s="1">
        <v>46106</v>
      </c>
      <c r="I82" s="2">
        <f t="shared" si="1"/>
        <v>0.50991111111111109</v>
      </c>
    </row>
    <row r="83" spans="1:9" x14ac:dyDescent="0.25">
      <c r="A83" t="str">
        <f>Collection[[#This Row],[Set]]&amp;"-"&amp;Collection[[#This Row],[CardNo]]</f>
        <v>ECL-99</v>
      </c>
      <c r="B83" t="s">
        <v>6</v>
      </c>
      <c r="C83">
        <v>99</v>
      </c>
      <c r="D83" t="s">
        <v>88</v>
      </c>
      <c r="E83" t="s">
        <v>259</v>
      </c>
      <c r="F83">
        <v>5</v>
      </c>
      <c r="H83" s="1">
        <v>46106</v>
      </c>
      <c r="I83" s="2">
        <f t="shared" si="1"/>
        <v>0.50991111111111109</v>
      </c>
    </row>
    <row r="84" spans="1:9" x14ac:dyDescent="0.25">
      <c r="A84" t="str">
        <f>Collection[[#This Row],[Set]]&amp;"-"&amp;Collection[[#This Row],[CardNo]]</f>
        <v>ECL-100</v>
      </c>
      <c r="B84" t="s">
        <v>6</v>
      </c>
      <c r="C84">
        <v>100</v>
      </c>
      <c r="D84" t="s">
        <v>89</v>
      </c>
      <c r="E84" t="s">
        <v>228</v>
      </c>
      <c r="F84">
        <v>2</v>
      </c>
      <c r="H84" s="1">
        <v>46106</v>
      </c>
      <c r="I84" s="2">
        <f t="shared" si="1"/>
        <v>0.50991111111111109</v>
      </c>
    </row>
    <row r="85" spans="1:9" x14ac:dyDescent="0.25">
      <c r="A85" t="str">
        <f>Collection[[#This Row],[Set]]&amp;"-"&amp;Collection[[#This Row],[CardNo]]</f>
        <v>ECL-101</v>
      </c>
      <c r="B85" t="s">
        <v>6</v>
      </c>
      <c r="C85">
        <v>101</v>
      </c>
      <c r="D85" t="s">
        <v>90</v>
      </c>
      <c r="E85" t="s">
        <v>281</v>
      </c>
      <c r="F85">
        <v>2</v>
      </c>
      <c r="G85">
        <v>1</v>
      </c>
      <c r="H85" s="1">
        <v>46106</v>
      </c>
      <c r="I85" s="2">
        <f t="shared" si="1"/>
        <v>0.50991111111111109</v>
      </c>
    </row>
    <row r="86" spans="1:9" x14ac:dyDescent="0.25">
      <c r="A86" t="str">
        <f>Collection[[#This Row],[Set]]&amp;"-"&amp;Collection[[#This Row],[CardNo]]</f>
        <v>ECL-103</v>
      </c>
      <c r="B86" t="s">
        <v>6</v>
      </c>
      <c r="C86">
        <v>103</v>
      </c>
      <c r="D86" t="s">
        <v>91</v>
      </c>
      <c r="E86" t="s">
        <v>286</v>
      </c>
      <c r="F86">
        <v>1</v>
      </c>
      <c r="H86" s="1">
        <v>46106</v>
      </c>
      <c r="I86" s="2">
        <f t="shared" si="1"/>
        <v>0.50991111111111109</v>
      </c>
    </row>
    <row r="87" spans="1:9" x14ac:dyDescent="0.25">
      <c r="A87" t="str">
        <f>Collection[[#This Row],[Set]]&amp;"-"&amp;Collection[[#This Row],[CardNo]]</f>
        <v>ECL-104</v>
      </c>
      <c r="B87" t="s">
        <v>6</v>
      </c>
      <c r="C87">
        <v>104</v>
      </c>
      <c r="D87" t="s">
        <v>92</v>
      </c>
      <c r="E87" t="s">
        <v>287</v>
      </c>
      <c r="F87">
        <v>1</v>
      </c>
      <c r="H87" s="1">
        <v>46106</v>
      </c>
      <c r="I87" s="2">
        <f t="shared" si="1"/>
        <v>0.50991111111111109</v>
      </c>
    </row>
    <row r="88" spans="1:9" x14ac:dyDescent="0.25">
      <c r="A88" t="str">
        <f>Collection[[#This Row],[Set]]&amp;"-"&amp;Collection[[#This Row],[CardNo]]</f>
        <v>ECL-105</v>
      </c>
      <c r="B88" t="s">
        <v>6</v>
      </c>
      <c r="C88">
        <v>105</v>
      </c>
      <c r="D88" t="s">
        <v>93</v>
      </c>
      <c r="E88" t="s">
        <v>288</v>
      </c>
      <c r="G88">
        <v>1</v>
      </c>
      <c r="H88" s="1">
        <v>46106</v>
      </c>
      <c r="I88" s="2">
        <f t="shared" si="1"/>
        <v>0.50991111111111109</v>
      </c>
    </row>
    <row r="89" spans="1:9" x14ac:dyDescent="0.25">
      <c r="A89" t="str">
        <f>Collection[[#This Row],[Set]]&amp;"-"&amp;Collection[[#This Row],[CardNo]]</f>
        <v>ECL-106</v>
      </c>
      <c r="B89" t="s">
        <v>6</v>
      </c>
      <c r="C89">
        <v>106</v>
      </c>
      <c r="D89" t="s">
        <v>94</v>
      </c>
      <c r="E89" t="s">
        <v>263</v>
      </c>
      <c r="F89">
        <v>1</v>
      </c>
      <c r="H89" s="1">
        <v>46106</v>
      </c>
      <c r="I89" s="2">
        <f t="shared" si="1"/>
        <v>0.50991111111111109</v>
      </c>
    </row>
    <row r="90" spans="1:9" x14ac:dyDescent="0.25">
      <c r="A90" t="str">
        <f>Collection[[#This Row],[Set]]&amp;"-"&amp;Collection[[#This Row],[CardNo]]</f>
        <v>ECL-107</v>
      </c>
      <c r="B90" t="s">
        <v>6</v>
      </c>
      <c r="C90">
        <v>107</v>
      </c>
      <c r="D90" t="s">
        <v>95</v>
      </c>
      <c r="E90" t="s">
        <v>289</v>
      </c>
      <c r="F90">
        <v>3</v>
      </c>
      <c r="H90" s="1">
        <v>46106</v>
      </c>
      <c r="I90" s="2">
        <f t="shared" si="1"/>
        <v>0.50991111111111109</v>
      </c>
    </row>
    <row r="91" spans="1:9" x14ac:dyDescent="0.25">
      <c r="A91" t="str">
        <f>Collection[[#This Row],[Set]]&amp;"-"&amp;Collection[[#This Row],[CardNo]]</f>
        <v>ECL-108</v>
      </c>
      <c r="B91" t="s">
        <v>6</v>
      </c>
      <c r="C91">
        <v>108</v>
      </c>
      <c r="D91" t="s">
        <v>96</v>
      </c>
      <c r="E91" t="s">
        <v>290</v>
      </c>
      <c r="F91">
        <v>1</v>
      </c>
      <c r="G91">
        <v>1</v>
      </c>
      <c r="H91" s="1">
        <v>46106</v>
      </c>
      <c r="I91" s="2">
        <f t="shared" si="1"/>
        <v>0.50991111111111109</v>
      </c>
    </row>
    <row r="92" spans="1:9" x14ac:dyDescent="0.25">
      <c r="A92" t="str">
        <f>Collection[[#This Row],[Set]]&amp;"-"&amp;Collection[[#This Row],[CardNo]]</f>
        <v>ECL-109</v>
      </c>
      <c r="B92" t="s">
        <v>6</v>
      </c>
      <c r="C92">
        <v>109</v>
      </c>
      <c r="D92" t="s">
        <v>97</v>
      </c>
      <c r="E92" t="s">
        <v>232</v>
      </c>
      <c r="F92">
        <v>3</v>
      </c>
      <c r="H92" s="1">
        <v>46106</v>
      </c>
      <c r="I92" s="2">
        <f t="shared" si="1"/>
        <v>0.50991111111111109</v>
      </c>
    </row>
    <row r="93" spans="1:9" x14ac:dyDescent="0.25">
      <c r="A93" t="str">
        <f>Collection[[#This Row],[Set]]&amp;"-"&amp;Collection[[#This Row],[CardNo]]</f>
        <v>ECL-110</v>
      </c>
      <c r="B93" t="s">
        <v>6</v>
      </c>
      <c r="C93">
        <v>110</v>
      </c>
      <c r="D93" t="s">
        <v>98</v>
      </c>
      <c r="E93" t="s">
        <v>291</v>
      </c>
      <c r="F93">
        <v>1</v>
      </c>
      <c r="H93" s="1">
        <v>46106</v>
      </c>
      <c r="I93" s="2">
        <f t="shared" si="1"/>
        <v>0.50991111111111109</v>
      </c>
    </row>
    <row r="94" spans="1:9" x14ac:dyDescent="0.25">
      <c r="A94" t="str">
        <f>Collection[[#This Row],[Set]]&amp;"-"&amp;Collection[[#This Row],[CardNo]]</f>
        <v>ECL-112</v>
      </c>
      <c r="B94" t="s">
        <v>6</v>
      </c>
      <c r="C94">
        <v>112</v>
      </c>
      <c r="D94" t="s">
        <v>99</v>
      </c>
      <c r="E94" t="s">
        <v>255</v>
      </c>
      <c r="F94">
        <v>2</v>
      </c>
      <c r="H94" s="1">
        <v>46106</v>
      </c>
      <c r="I94" s="2">
        <f t="shared" si="1"/>
        <v>0.50991111111111109</v>
      </c>
    </row>
    <row r="95" spans="1:9" x14ac:dyDescent="0.25">
      <c r="A95" t="str">
        <f>Collection[[#This Row],[Set]]&amp;"-"&amp;Collection[[#This Row],[CardNo]]</f>
        <v>ECL-113</v>
      </c>
      <c r="B95" t="s">
        <v>6</v>
      </c>
      <c r="C95">
        <v>113</v>
      </c>
      <c r="D95" t="s">
        <v>100</v>
      </c>
      <c r="E95" t="s">
        <v>292</v>
      </c>
      <c r="F95">
        <v>1</v>
      </c>
      <c r="H95" s="1">
        <v>46106</v>
      </c>
      <c r="I95" s="2">
        <f t="shared" si="1"/>
        <v>0.50991111111111109</v>
      </c>
    </row>
    <row r="96" spans="1:9" x14ac:dyDescent="0.25">
      <c r="A96" t="str">
        <f>Collection[[#This Row],[Set]]&amp;"-"&amp;Collection[[#This Row],[CardNo]]</f>
        <v>ECL-114</v>
      </c>
      <c r="B96" t="s">
        <v>6</v>
      </c>
      <c r="C96">
        <v>114</v>
      </c>
      <c r="D96" t="s">
        <v>101</v>
      </c>
      <c r="E96" t="s">
        <v>293</v>
      </c>
      <c r="F96">
        <v>1</v>
      </c>
      <c r="H96" s="1">
        <v>46106</v>
      </c>
      <c r="I96" s="2">
        <f t="shared" si="1"/>
        <v>0.50991111111111109</v>
      </c>
    </row>
    <row r="97" spans="1:9" x14ac:dyDescent="0.25">
      <c r="A97" t="str">
        <f>Collection[[#This Row],[Set]]&amp;"-"&amp;Collection[[#This Row],[CardNo]]</f>
        <v>ECL-115</v>
      </c>
      <c r="B97" t="s">
        <v>6</v>
      </c>
      <c r="C97">
        <v>115</v>
      </c>
      <c r="D97" t="s">
        <v>102</v>
      </c>
      <c r="E97" t="s">
        <v>294</v>
      </c>
      <c r="F97">
        <v>1</v>
      </c>
      <c r="H97" s="1">
        <v>46106</v>
      </c>
      <c r="I97" s="2">
        <f t="shared" si="1"/>
        <v>0.50991111111111109</v>
      </c>
    </row>
    <row r="98" spans="1:9" x14ac:dyDescent="0.25">
      <c r="A98" t="str">
        <f>Collection[[#This Row],[Set]]&amp;"-"&amp;Collection[[#This Row],[CardNo]]</f>
        <v>ECL-116</v>
      </c>
      <c r="B98" t="s">
        <v>6</v>
      </c>
      <c r="C98">
        <v>116</v>
      </c>
      <c r="D98" t="s">
        <v>103</v>
      </c>
      <c r="E98" t="s">
        <v>295</v>
      </c>
      <c r="F98">
        <v>1</v>
      </c>
      <c r="H98" s="1">
        <v>46106</v>
      </c>
      <c r="I98" s="2">
        <f t="shared" si="1"/>
        <v>0.50991111111111109</v>
      </c>
    </row>
    <row r="99" spans="1:9" x14ac:dyDescent="0.25">
      <c r="A99" t="str">
        <f>Collection[[#This Row],[Set]]&amp;"-"&amp;Collection[[#This Row],[CardNo]]</f>
        <v>ECL-117</v>
      </c>
      <c r="B99" t="s">
        <v>6</v>
      </c>
      <c r="C99">
        <v>117</v>
      </c>
      <c r="D99" t="s">
        <v>104</v>
      </c>
      <c r="E99" t="s">
        <v>289</v>
      </c>
      <c r="F99">
        <v>1</v>
      </c>
      <c r="H99" s="1">
        <v>46106</v>
      </c>
      <c r="I99" s="2">
        <f t="shared" si="1"/>
        <v>0.50991111111111109</v>
      </c>
    </row>
    <row r="100" spans="1:9" x14ac:dyDescent="0.25">
      <c r="A100" t="str">
        <f>Collection[[#This Row],[Set]]&amp;"-"&amp;Collection[[#This Row],[CardNo]]</f>
        <v>ECL-118</v>
      </c>
      <c r="B100" t="s">
        <v>6</v>
      </c>
      <c r="C100">
        <v>118</v>
      </c>
      <c r="D100" t="s">
        <v>105</v>
      </c>
      <c r="E100" t="s">
        <v>296</v>
      </c>
      <c r="F100">
        <v>2</v>
      </c>
      <c r="H100" s="1">
        <v>46106</v>
      </c>
      <c r="I100" s="2">
        <f t="shared" si="1"/>
        <v>0.50991111111111109</v>
      </c>
    </row>
    <row r="101" spans="1:9" x14ac:dyDescent="0.25">
      <c r="A101" t="str">
        <f>Collection[[#This Row],[Set]]&amp;"-"&amp;Collection[[#This Row],[CardNo]]</f>
        <v>ECL-119</v>
      </c>
      <c r="B101" t="s">
        <v>6</v>
      </c>
      <c r="C101">
        <v>119</v>
      </c>
      <c r="D101" t="s">
        <v>106</v>
      </c>
      <c r="E101" t="s">
        <v>228</v>
      </c>
      <c r="F101">
        <v>3</v>
      </c>
      <c r="G101">
        <v>1</v>
      </c>
      <c r="H101" s="1">
        <v>46106</v>
      </c>
      <c r="I101" s="2">
        <f t="shared" si="1"/>
        <v>0.50991111111111109</v>
      </c>
    </row>
    <row r="102" spans="1:9" x14ac:dyDescent="0.25">
      <c r="A102" t="str">
        <f>Collection[[#This Row],[Set]]&amp;"-"&amp;Collection[[#This Row],[CardNo]]</f>
        <v>ECL-120</v>
      </c>
      <c r="B102" t="s">
        <v>6</v>
      </c>
      <c r="C102">
        <v>120</v>
      </c>
      <c r="D102" t="s">
        <v>107</v>
      </c>
      <c r="E102" t="s">
        <v>229</v>
      </c>
      <c r="F102">
        <v>1</v>
      </c>
      <c r="H102" s="1">
        <v>46106</v>
      </c>
      <c r="I102" s="2">
        <f t="shared" si="1"/>
        <v>0.50991111111111109</v>
      </c>
    </row>
    <row r="103" spans="1:9" x14ac:dyDescent="0.25">
      <c r="A103" t="str">
        <f>Collection[[#This Row],[Set]]&amp;"-"&amp;Collection[[#This Row],[CardNo]]</f>
        <v>ECL-121</v>
      </c>
      <c r="B103" t="s">
        <v>6</v>
      </c>
      <c r="C103">
        <v>121</v>
      </c>
      <c r="D103" t="s">
        <v>108</v>
      </c>
      <c r="E103" t="s">
        <v>243</v>
      </c>
      <c r="F103">
        <v>1</v>
      </c>
      <c r="H103" s="1">
        <v>46106</v>
      </c>
      <c r="I103" s="2">
        <f t="shared" si="1"/>
        <v>0.50991111111111109</v>
      </c>
    </row>
    <row r="104" spans="1:9" x14ac:dyDescent="0.25">
      <c r="A104" t="str">
        <f>Collection[[#This Row],[Set]]&amp;"-"&amp;Collection[[#This Row],[CardNo]]</f>
        <v>ECL-123</v>
      </c>
      <c r="B104" t="s">
        <v>6</v>
      </c>
      <c r="C104">
        <v>123</v>
      </c>
      <c r="D104" t="s">
        <v>109</v>
      </c>
      <c r="E104" t="s">
        <v>236</v>
      </c>
      <c r="F104">
        <v>1</v>
      </c>
      <c r="H104" s="1">
        <v>46106</v>
      </c>
      <c r="I104" s="2">
        <f t="shared" si="1"/>
        <v>0.50991111111111109</v>
      </c>
    </row>
    <row r="105" spans="1:9" x14ac:dyDescent="0.25">
      <c r="A105" t="str">
        <f>Collection[[#This Row],[Set]]&amp;"-"&amp;Collection[[#This Row],[CardNo]]</f>
        <v>ECL-125</v>
      </c>
      <c r="B105" t="s">
        <v>6</v>
      </c>
      <c r="C105">
        <v>125</v>
      </c>
      <c r="D105" t="s">
        <v>110</v>
      </c>
      <c r="E105" t="s">
        <v>297</v>
      </c>
      <c r="F105">
        <v>1</v>
      </c>
      <c r="H105" s="1">
        <v>46106</v>
      </c>
      <c r="I105" s="2">
        <f t="shared" si="1"/>
        <v>0.50991111111111109</v>
      </c>
    </row>
    <row r="106" spans="1:9" x14ac:dyDescent="0.25">
      <c r="A106" t="str">
        <f>Collection[[#This Row],[Set]]&amp;"-"&amp;Collection[[#This Row],[CardNo]]</f>
        <v>ECL-126</v>
      </c>
      <c r="B106" t="s">
        <v>6</v>
      </c>
      <c r="C106">
        <v>126</v>
      </c>
      <c r="D106" t="s">
        <v>111</v>
      </c>
      <c r="E106" t="s">
        <v>251</v>
      </c>
      <c r="F106">
        <v>3</v>
      </c>
      <c r="H106" s="1">
        <v>46106</v>
      </c>
      <c r="I106" s="2">
        <f t="shared" si="1"/>
        <v>0.50991111111111109</v>
      </c>
    </row>
    <row r="107" spans="1:9" x14ac:dyDescent="0.25">
      <c r="A107" t="str">
        <f>Collection[[#This Row],[Set]]&amp;"-"&amp;Collection[[#This Row],[CardNo]]</f>
        <v>ECL-127</v>
      </c>
      <c r="B107" t="s">
        <v>6</v>
      </c>
      <c r="C107">
        <v>127</v>
      </c>
      <c r="D107" t="s">
        <v>112</v>
      </c>
      <c r="E107" t="s">
        <v>298</v>
      </c>
      <c r="F107">
        <v>2</v>
      </c>
      <c r="H107" s="1">
        <v>46106</v>
      </c>
      <c r="I107" s="2">
        <f t="shared" si="1"/>
        <v>0.50991111111111109</v>
      </c>
    </row>
    <row r="108" spans="1:9" x14ac:dyDescent="0.25">
      <c r="A108" t="str">
        <f>Collection[[#This Row],[Set]]&amp;"-"&amp;Collection[[#This Row],[CardNo]]</f>
        <v>ECL-128</v>
      </c>
      <c r="B108" t="s">
        <v>6</v>
      </c>
      <c r="C108">
        <v>128</v>
      </c>
      <c r="D108" t="s">
        <v>113</v>
      </c>
      <c r="E108" t="s">
        <v>297</v>
      </c>
      <c r="F108">
        <v>2</v>
      </c>
      <c r="H108" s="1">
        <v>46106</v>
      </c>
      <c r="I108" s="2">
        <f t="shared" si="1"/>
        <v>0.50991111111111109</v>
      </c>
    </row>
    <row r="109" spans="1:9" x14ac:dyDescent="0.25">
      <c r="A109" t="str">
        <f>Collection[[#This Row],[Set]]&amp;"-"&amp;Collection[[#This Row],[CardNo]]</f>
        <v>ECL-129</v>
      </c>
      <c r="B109" t="s">
        <v>6</v>
      </c>
      <c r="C109">
        <v>129</v>
      </c>
      <c r="D109" t="s">
        <v>114</v>
      </c>
      <c r="E109" t="s">
        <v>299</v>
      </c>
      <c r="F109">
        <v>5</v>
      </c>
      <c r="H109" s="1">
        <v>46106</v>
      </c>
      <c r="I109" s="2">
        <f t="shared" si="1"/>
        <v>0.50991111111111109</v>
      </c>
    </row>
    <row r="110" spans="1:9" x14ac:dyDescent="0.25">
      <c r="A110" t="str">
        <f>Collection[[#This Row],[Set]]&amp;"-"&amp;Collection[[#This Row],[CardNo]]</f>
        <v>ECL-131</v>
      </c>
      <c r="B110" t="s">
        <v>6</v>
      </c>
      <c r="C110">
        <v>131</v>
      </c>
      <c r="D110" t="s">
        <v>115</v>
      </c>
      <c r="E110" t="s">
        <v>300</v>
      </c>
      <c r="F110">
        <v>4</v>
      </c>
      <c r="G110">
        <v>1</v>
      </c>
      <c r="H110" s="1">
        <v>46106</v>
      </c>
      <c r="I110" s="2">
        <f t="shared" si="1"/>
        <v>0.50991111111111109</v>
      </c>
    </row>
    <row r="111" spans="1:9" x14ac:dyDescent="0.25">
      <c r="A111" t="str">
        <f>Collection[[#This Row],[Set]]&amp;"-"&amp;Collection[[#This Row],[CardNo]]</f>
        <v>ECL-132</v>
      </c>
      <c r="B111" t="s">
        <v>6</v>
      </c>
      <c r="C111">
        <v>132</v>
      </c>
      <c r="D111" t="s">
        <v>116</v>
      </c>
      <c r="E111" t="s">
        <v>264</v>
      </c>
      <c r="F111">
        <v>1</v>
      </c>
      <c r="H111" s="1">
        <v>46106</v>
      </c>
      <c r="I111" s="2">
        <f t="shared" si="1"/>
        <v>0.50991111111111109</v>
      </c>
    </row>
    <row r="112" spans="1:9" x14ac:dyDescent="0.25">
      <c r="A112" t="str">
        <f>Collection[[#This Row],[Set]]&amp;"-"&amp;Collection[[#This Row],[CardNo]]</f>
        <v>ECL-133</v>
      </c>
      <c r="B112" t="s">
        <v>6</v>
      </c>
      <c r="C112">
        <v>133</v>
      </c>
      <c r="D112" t="s">
        <v>117</v>
      </c>
      <c r="E112" t="s">
        <v>272</v>
      </c>
      <c r="F112">
        <v>3</v>
      </c>
      <c r="H112" s="1">
        <v>46106</v>
      </c>
      <c r="I112" s="2">
        <f t="shared" si="1"/>
        <v>0.50991111111111109</v>
      </c>
    </row>
    <row r="113" spans="1:9" x14ac:dyDescent="0.25">
      <c r="A113" t="str">
        <f>Collection[[#This Row],[Set]]&amp;"-"&amp;Collection[[#This Row],[CardNo]]</f>
        <v>ECL-134</v>
      </c>
      <c r="B113" t="s">
        <v>6</v>
      </c>
      <c r="C113">
        <v>134</v>
      </c>
      <c r="D113" t="s">
        <v>118</v>
      </c>
      <c r="E113" t="s">
        <v>263</v>
      </c>
      <c r="F113">
        <v>1</v>
      </c>
      <c r="H113" s="1">
        <v>46106</v>
      </c>
      <c r="I113" s="2">
        <f t="shared" si="1"/>
        <v>0.50991111111111109</v>
      </c>
    </row>
    <row r="114" spans="1:9" x14ac:dyDescent="0.25">
      <c r="A114" t="str">
        <f>Collection[[#This Row],[Set]]&amp;"-"&amp;Collection[[#This Row],[CardNo]]</f>
        <v>ECL-135</v>
      </c>
      <c r="B114" t="s">
        <v>6</v>
      </c>
      <c r="C114">
        <v>135</v>
      </c>
      <c r="D114" t="s">
        <v>119</v>
      </c>
      <c r="E114" t="s">
        <v>301</v>
      </c>
      <c r="F114">
        <v>3</v>
      </c>
      <c r="H114" s="1">
        <v>46106</v>
      </c>
      <c r="I114" s="2">
        <f t="shared" si="1"/>
        <v>0.50991111111111109</v>
      </c>
    </row>
    <row r="115" spans="1:9" x14ac:dyDescent="0.25">
      <c r="A115" t="str">
        <f>Collection[[#This Row],[Set]]&amp;"-"&amp;Collection[[#This Row],[CardNo]]</f>
        <v>ECL-136</v>
      </c>
      <c r="B115" t="s">
        <v>6</v>
      </c>
      <c r="C115">
        <v>136</v>
      </c>
      <c r="D115" t="s">
        <v>120</v>
      </c>
      <c r="E115" t="s">
        <v>300</v>
      </c>
      <c r="F115">
        <v>1</v>
      </c>
      <c r="G115">
        <v>1</v>
      </c>
      <c r="H115" s="1">
        <v>46106</v>
      </c>
      <c r="I115" s="2">
        <f t="shared" si="1"/>
        <v>0.50991111111111109</v>
      </c>
    </row>
    <row r="116" spans="1:9" x14ac:dyDescent="0.25">
      <c r="A116" t="str">
        <f>Collection[[#This Row],[Set]]&amp;"-"&amp;Collection[[#This Row],[CardNo]]</f>
        <v>ECL-137</v>
      </c>
      <c r="B116" t="s">
        <v>6</v>
      </c>
      <c r="C116">
        <v>137</v>
      </c>
      <c r="D116" t="s">
        <v>121</v>
      </c>
      <c r="E116" t="s">
        <v>302</v>
      </c>
      <c r="F116">
        <v>3</v>
      </c>
      <c r="H116" s="1">
        <v>46106</v>
      </c>
      <c r="I116" s="2">
        <f t="shared" si="1"/>
        <v>0.50991111111111109</v>
      </c>
    </row>
    <row r="117" spans="1:9" x14ac:dyDescent="0.25">
      <c r="A117" t="str">
        <f>Collection[[#This Row],[Set]]&amp;"-"&amp;Collection[[#This Row],[CardNo]]</f>
        <v>ECL-138</v>
      </c>
      <c r="B117" t="s">
        <v>6</v>
      </c>
      <c r="C117">
        <v>138</v>
      </c>
      <c r="D117" t="s">
        <v>122</v>
      </c>
      <c r="E117" t="s">
        <v>303</v>
      </c>
      <c r="F117">
        <v>3</v>
      </c>
      <c r="G117">
        <v>1</v>
      </c>
      <c r="H117" s="1">
        <v>46106</v>
      </c>
      <c r="I117" s="2">
        <f t="shared" si="1"/>
        <v>0.50991111111111109</v>
      </c>
    </row>
    <row r="118" spans="1:9" x14ac:dyDescent="0.25">
      <c r="A118" t="str">
        <f>Collection[[#This Row],[Set]]&amp;"-"&amp;Collection[[#This Row],[CardNo]]</f>
        <v>ECL-139</v>
      </c>
      <c r="B118" t="s">
        <v>6</v>
      </c>
      <c r="C118">
        <v>139</v>
      </c>
      <c r="D118" t="s">
        <v>123</v>
      </c>
      <c r="E118" t="s">
        <v>237</v>
      </c>
      <c r="F118">
        <v>1</v>
      </c>
      <c r="H118" s="1">
        <v>46106</v>
      </c>
      <c r="I118" s="2">
        <f t="shared" si="1"/>
        <v>0.50991111111111109</v>
      </c>
    </row>
    <row r="119" spans="1:9" x14ac:dyDescent="0.25">
      <c r="A119" t="str">
        <f>Collection[[#This Row],[Set]]&amp;"-"&amp;Collection[[#This Row],[CardNo]]</f>
        <v>ECL-140</v>
      </c>
      <c r="B119" t="s">
        <v>6</v>
      </c>
      <c r="C119">
        <v>140</v>
      </c>
      <c r="D119" t="s">
        <v>124</v>
      </c>
      <c r="E119" t="s">
        <v>269</v>
      </c>
      <c r="F119">
        <v>2</v>
      </c>
      <c r="H119" s="1">
        <v>46106</v>
      </c>
      <c r="I119" s="2">
        <f t="shared" si="1"/>
        <v>0.50991111111111109</v>
      </c>
    </row>
    <row r="120" spans="1:9" x14ac:dyDescent="0.25">
      <c r="A120" t="str">
        <f>Collection[[#This Row],[Set]]&amp;"-"&amp;Collection[[#This Row],[CardNo]]</f>
        <v>ECL-141</v>
      </c>
      <c r="B120" t="s">
        <v>6</v>
      </c>
      <c r="C120">
        <v>141</v>
      </c>
      <c r="D120" t="s">
        <v>125</v>
      </c>
      <c r="E120" t="s">
        <v>254</v>
      </c>
      <c r="F120">
        <v>1</v>
      </c>
      <c r="H120" s="1">
        <v>46106</v>
      </c>
      <c r="I120" s="2">
        <f t="shared" si="1"/>
        <v>0.50991111111111109</v>
      </c>
    </row>
    <row r="121" spans="1:9" x14ac:dyDescent="0.25">
      <c r="A121" t="str">
        <f>Collection[[#This Row],[Set]]&amp;"-"&amp;Collection[[#This Row],[CardNo]]</f>
        <v>ECL-142</v>
      </c>
      <c r="B121" t="s">
        <v>6</v>
      </c>
      <c r="C121">
        <v>142</v>
      </c>
      <c r="D121" t="s">
        <v>126</v>
      </c>
      <c r="E121" t="s">
        <v>279</v>
      </c>
      <c r="F121">
        <v>1</v>
      </c>
      <c r="H121" s="1">
        <v>46106</v>
      </c>
      <c r="I121" s="2">
        <f t="shared" si="1"/>
        <v>0.50991111111111109</v>
      </c>
    </row>
    <row r="122" spans="1:9" x14ac:dyDescent="0.25">
      <c r="A122" t="str">
        <f>Collection[[#This Row],[Set]]&amp;"-"&amp;Collection[[#This Row],[CardNo]]</f>
        <v>ECL-143</v>
      </c>
      <c r="B122" t="s">
        <v>6</v>
      </c>
      <c r="C122">
        <v>143</v>
      </c>
      <c r="D122" t="s">
        <v>127</v>
      </c>
      <c r="E122" t="s">
        <v>281</v>
      </c>
      <c r="F122">
        <v>1</v>
      </c>
      <c r="H122" s="1">
        <v>46106</v>
      </c>
      <c r="I122" s="2">
        <f t="shared" si="1"/>
        <v>0.50991111111111109</v>
      </c>
    </row>
    <row r="123" spans="1:9" x14ac:dyDescent="0.25">
      <c r="A123" t="str">
        <f>Collection[[#This Row],[Set]]&amp;"-"&amp;Collection[[#This Row],[CardNo]]</f>
        <v>ECL-144</v>
      </c>
      <c r="B123" t="s">
        <v>6</v>
      </c>
      <c r="C123">
        <v>144</v>
      </c>
      <c r="D123" t="s">
        <v>128</v>
      </c>
      <c r="E123" t="s">
        <v>247</v>
      </c>
      <c r="F123">
        <v>4</v>
      </c>
      <c r="H123" s="1">
        <v>46106</v>
      </c>
      <c r="I123" s="2">
        <f t="shared" si="1"/>
        <v>0.50991111111111109</v>
      </c>
    </row>
    <row r="124" spans="1:9" x14ac:dyDescent="0.25">
      <c r="A124" t="str">
        <f>Collection[[#This Row],[Set]]&amp;"-"&amp;Collection[[#This Row],[CardNo]]</f>
        <v>ECL-146</v>
      </c>
      <c r="B124" t="s">
        <v>6</v>
      </c>
      <c r="C124">
        <v>146</v>
      </c>
      <c r="D124" t="s">
        <v>129</v>
      </c>
      <c r="E124" t="s">
        <v>304</v>
      </c>
      <c r="F124">
        <v>1</v>
      </c>
      <c r="H124" s="1">
        <v>46106</v>
      </c>
      <c r="I124" s="2">
        <f t="shared" si="1"/>
        <v>0.50991111111111109</v>
      </c>
    </row>
    <row r="125" spans="1:9" x14ac:dyDescent="0.25">
      <c r="A125" t="str">
        <f>Collection[[#This Row],[Set]]&amp;"-"&amp;Collection[[#This Row],[CardNo]]</f>
        <v>ECL-147</v>
      </c>
      <c r="B125" t="s">
        <v>6</v>
      </c>
      <c r="C125">
        <v>147</v>
      </c>
      <c r="D125" t="s">
        <v>130</v>
      </c>
      <c r="E125" t="s">
        <v>240</v>
      </c>
      <c r="F125">
        <v>2</v>
      </c>
      <c r="H125" s="1">
        <v>46106</v>
      </c>
      <c r="I125" s="2">
        <f t="shared" si="1"/>
        <v>0.50991111111111109</v>
      </c>
    </row>
    <row r="126" spans="1:9" x14ac:dyDescent="0.25">
      <c r="A126" t="str">
        <f>Collection[[#This Row],[Set]]&amp;"-"&amp;Collection[[#This Row],[CardNo]]</f>
        <v>ECL-148</v>
      </c>
      <c r="B126" t="s">
        <v>6</v>
      </c>
      <c r="C126">
        <v>148</v>
      </c>
      <c r="D126" t="s">
        <v>131</v>
      </c>
      <c r="E126" t="s">
        <v>283</v>
      </c>
      <c r="F126">
        <v>3</v>
      </c>
      <c r="H126" s="1">
        <v>46106</v>
      </c>
      <c r="I126" s="2">
        <f t="shared" si="1"/>
        <v>0.50991111111111109</v>
      </c>
    </row>
    <row r="127" spans="1:9" x14ac:dyDescent="0.25">
      <c r="A127" t="str">
        <f>Collection[[#This Row],[Set]]&amp;"-"&amp;Collection[[#This Row],[CardNo]]</f>
        <v>ECL-149</v>
      </c>
      <c r="B127" t="s">
        <v>6</v>
      </c>
      <c r="C127">
        <v>149</v>
      </c>
      <c r="D127" t="s">
        <v>132</v>
      </c>
      <c r="E127" t="s">
        <v>233</v>
      </c>
      <c r="F127">
        <v>1</v>
      </c>
      <c r="H127" s="1">
        <v>46106</v>
      </c>
      <c r="I127" s="2">
        <f t="shared" si="1"/>
        <v>0.50991111111111109</v>
      </c>
    </row>
    <row r="128" spans="1:9" x14ac:dyDescent="0.25">
      <c r="A128" t="str">
        <f>Collection[[#This Row],[Set]]&amp;"-"&amp;Collection[[#This Row],[CardNo]]</f>
        <v>ECL-152</v>
      </c>
      <c r="B128" t="s">
        <v>6</v>
      </c>
      <c r="C128">
        <v>152</v>
      </c>
      <c r="D128" t="s">
        <v>133</v>
      </c>
      <c r="E128" t="s">
        <v>231</v>
      </c>
      <c r="F128">
        <v>3</v>
      </c>
      <c r="G128">
        <v>1</v>
      </c>
      <c r="H128" s="1">
        <v>46106</v>
      </c>
      <c r="I128" s="2">
        <f t="shared" si="1"/>
        <v>0.50991111111111109</v>
      </c>
    </row>
    <row r="129" spans="1:9" x14ac:dyDescent="0.25">
      <c r="A129" t="str">
        <f>Collection[[#This Row],[Set]]&amp;"-"&amp;Collection[[#This Row],[CardNo]]</f>
        <v>ECL-153</v>
      </c>
      <c r="B129" t="s">
        <v>6</v>
      </c>
      <c r="C129">
        <v>153</v>
      </c>
      <c r="D129" t="s">
        <v>134</v>
      </c>
      <c r="E129" t="s">
        <v>305</v>
      </c>
      <c r="F129">
        <v>1</v>
      </c>
      <c r="H129" s="1">
        <v>46106</v>
      </c>
      <c r="I129" s="2">
        <f t="shared" si="1"/>
        <v>0.50991111111111109</v>
      </c>
    </row>
    <row r="130" spans="1:9" x14ac:dyDescent="0.25">
      <c r="A130" t="str">
        <f>Collection[[#This Row],[Set]]&amp;"-"&amp;Collection[[#This Row],[CardNo]]</f>
        <v>ECL-154</v>
      </c>
      <c r="B130" t="s">
        <v>6</v>
      </c>
      <c r="C130">
        <v>154</v>
      </c>
      <c r="D130" t="s">
        <v>135</v>
      </c>
      <c r="E130" t="s">
        <v>301</v>
      </c>
      <c r="F130">
        <v>2</v>
      </c>
      <c r="H130" s="1">
        <v>46106</v>
      </c>
      <c r="I130" s="2">
        <f t="shared" si="1"/>
        <v>0.50991111111111109</v>
      </c>
    </row>
    <row r="131" spans="1:9" x14ac:dyDescent="0.25">
      <c r="A131" t="str">
        <f>Collection[[#This Row],[Set]]&amp;"-"&amp;Collection[[#This Row],[CardNo]]</f>
        <v>ECL-155</v>
      </c>
      <c r="B131" t="s">
        <v>6</v>
      </c>
      <c r="C131">
        <v>155</v>
      </c>
      <c r="D131" t="s">
        <v>136</v>
      </c>
      <c r="E131" t="s">
        <v>306</v>
      </c>
      <c r="F131">
        <v>1</v>
      </c>
      <c r="H131" s="1">
        <v>46106</v>
      </c>
      <c r="I131" s="2">
        <f t="shared" ref="I131:I194" si="2">229.46/30/15</f>
        <v>0.50991111111111109</v>
      </c>
    </row>
    <row r="132" spans="1:9" x14ac:dyDescent="0.25">
      <c r="A132" t="str">
        <f>Collection[[#This Row],[Set]]&amp;"-"&amp;Collection[[#This Row],[CardNo]]</f>
        <v>ECL-156</v>
      </c>
      <c r="B132" t="s">
        <v>6</v>
      </c>
      <c r="C132">
        <v>156</v>
      </c>
      <c r="D132" t="s">
        <v>137</v>
      </c>
      <c r="E132" t="s">
        <v>241</v>
      </c>
      <c r="F132">
        <v>1</v>
      </c>
      <c r="H132" s="1">
        <v>46106</v>
      </c>
      <c r="I132" s="2">
        <f t="shared" si="2"/>
        <v>0.50991111111111109</v>
      </c>
    </row>
    <row r="133" spans="1:9" x14ac:dyDescent="0.25">
      <c r="A133" t="str">
        <f>Collection[[#This Row],[Set]]&amp;"-"&amp;Collection[[#This Row],[CardNo]]</f>
        <v>ECL-157</v>
      </c>
      <c r="B133" t="s">
        <v>6</v>
      </c>
      <c r="C133">
        <v>157</v>
      </c>
      <c r="D133" t="s">
        <v>138</v>
      </c>
      <c r="E133" t="s">
        <v>236</v>
      </c>
      <c r="F133">
        <v>1</v>
      </c>
      <c r="G133">
        <v>2</v>
      </c>
      <c r="H133" s="1">
        <v>46106</v>
      </c>
      <c r="I133" s="2">
        <f t="shared" si="2"/>
        <v>0.50991111111111109</v>
      </c>
    </row>
    <row r="134" spans="1:9" x14ac:dyDescent="0.25">
      <c r="A134" t="str">
        <f>Collection[[#This Row],[Set]]&amp;"-"&amp;Collection[[#This Row],[CardNo]]</f>
        <v>ECL-158</v>
      </c>
      <c r="B134" t="s">
        <v>6</v>
      </c>
      <c r="C134">
        <v>158</v>
      </c>
      <c r="D134" t="s">
        <v>139</v>
      </c>
      <c r="E134" t="s">
        <v>262</v>
      </c>
      <c r="F134">
        <v>1</v>
      </c>
      <c r="G134">
        <v>1</v>
      </c>
      <c r="H134" s="1">
        <v>46106</v>
      </c>
      <c r="I134" s="2">
        <f t="shared" si="2"/>
        <v>0.50991111111111109</v>
      </c>
    </row>
    <row r="135" spans="1:9" x14ac:dyDescent="0.25">
      <c r="A135" t="str">
        <f>Collection[[#This Row],[Set]]&amp;"-"&amp;Collection[[#This Row],[CardNo]]</f>
        <v>ECL-159</v>
      </c>
      <c r="B135" t="s">
        <v>6</v>
      </c>
      <c r="C135">
        <v>159</v>
      </c>
      <c r="D135" t="s">
        <v>140</v>
      </c>
      <c r="E135" t="s">
        <v>307</v>
      </c>
      <c r="F135">
        <v>1</v>
      </c>
      <c r="H135" s="1">
        <v>46106</v>
      </c>
      <c r="I135" s="2">
        <f t="shared" si="2"/>
        <v>0.50991111111111109</v>
      </c>
    </row>
    <row r="136" spans="1:9" x14ac:dyDescent="0.25">
      <c r="A136" t="str">
        <f>Collection[[#This Row],[Set]]&amp;"-"&amp;Collection[[#This Row],[CardNo]]</f>
        <v>ECL-162</v>
      </c>
      <c r="B136" t="s">
        <v>6</v>
      </c>
      <c r="C136">
        <v>162</v>
      </c>
      <c r="D136" t="s">
        <v>141</v>
      </c>
      <c r="E136" t="s">
        <v>308</v>
      </c>
      <c r="F136">
        <v>3</v>
      </c>
      <c r="H136" s="1">
        <v>46106</v>
      </c>
      <c r="I136" s="2">
        <f t="shared" si="2"/>
        <v>0.50991111111111109</v>
      </c>
    </row>
    <row r="137" spans="1:9" x14ac:dyDescent="0.25">
      <c r="A137" t="str">
        <f>Collection[[#This Row],[Set]]&amp;"-"&amp;Collection[[#This Row],[CardNo]]</f>
        <v>ECL-163</v>
      </c>
      <c r="B137" t="s">
        <v>6</v>
      </c>
      <c r="C137">
        <v>163</v>
      </c>
      <c r="D137" t="s">
        <v>142</v>
      </c>
      <c r="E137" t="s">
        <v>255</v>
      </c>
      <c r="F137">
        <v>1</v>
      </c>
      <c r="H137" s="1">
        <v>46106</v>
      </c>
      <c r="I137" s="2">
        <f t="shared" si="2"/>
        <v>0.50991111111111109</v>
      </c>
    </row>
    <row r="138" spans="1:9" x14ac:dyDescent="0.25">
      <c r="A138" t="str">
        <f>Collection[[#This Row],[Set]]&amp;"-"&amp;Collection[[#This Row],[CardNo]]</f>
        <v>ECL-164</v>
      </c>
      <c r="B138" t="s">
        <v>6</v>
      </c>
      <c r="C138">
        <v>164</v>
      </c>
      <c r="D138" t="s">
        <v>143</v>
      </c>
      <c r="E138" t="s">
        <v>309</v>
      </c>
      <c r="F138">
        <v>2</v>
      </c>
      <c r="H138" s="1">
        <v>46106</v>
      </c>
      <c r="I138" s="2">
        <f t="shared" si="2"/>
        <v>0.50991111111111109</v>
      </c>
    </row>
    <row r="139" spans="1:9" x14ac:dyDescent="0.25">
      <c r="A139" t="str">
        <f>Collection[[#This Row],[Set]]&amp;"-"&amp;Collection[[#This Row],[CardNo]]</f>
        <v>ECL-167</v>
      </c>
      <c r="B139" t="s">
        <v>6</v>
      </c>
      <c r="C139">
        <v>167</v>
      </c>
      <c r="D139" t="s">
        <v>144</v>
      </c>
      <c r="E139" t="s">
        <v>310</v>
      </c>
      <c r="F139">
        <v>2</v>
      </c>
      <c r="H139" s="1">
        <v>46106</v>
      </c>
      <c r="I139" s="2">
        <f t="shared" si="2"/>
        <v>0.50991111111111109</v>
      </c>
    </row>
    <row r="140" spans="1:9" x14ac:dyDescent="0.25">
      <c r="A140" t="str">
        <f>Collection[[#This Row],[Set]]&amp;"-"&amp;Collection[[#This Row],[CardNo]]</f>
        <v>ECL-169</v>
      </c>
      <c r="B140" t="s">
        <v>6</v>
      </c>
      <c r="C140">
        <v>169</v>
      </c>
      <c r="D140" t="s">
        <v>145</v>
      </c>
      <c r="E140" t="s">
        <v>311</v>
      </c>
      <c r="F140">
        <v>1</v>
      </c>
      <c r="H140" s="1">
        <v>46106</v>
      </c>
      <c r="I140" s="2">
        <f t="shared" si="2"/>
        <v>0.50991111111111109</v>
      </c>
    </row>
    <row r="141" spans="1:9" x14ac:dyDescent="0.25">
      <c r="A141" t="str">
        <f>Collection[[#This Row],[Set]]&amp;"-"&amp;Collection[[#This Row],[CardNo]]</f>
        <v>ECL-170</v>
      </c>
      <c r="B141" t="s">
        <v>6</v>
      </c>
      <c r="C141">
        <v>170</v>
      </c>
      <c r="D141" t="s">
        <v>146</v>
      </c>
      <c r="E141" t="s">
        <v>284</v>
      </c>
      <c r="F141">
        <v>1</v>
      </c>
      <c r="H141" s="1">
        <v>46106</v>
      </c>
      <c r="I141" s="2">
        <f t="shared" si="2"/>
        <v>0.50991111111111109</v>
      </c>
    </row>
    <row r="142" spans="1:9" x14ac:dyDescent="0.25">
      <c r="A142" t="str">
        <f>Collection[[#This Row],[Set]]&amp;"-"&amp;Collection[[#This Row],[CardNo]]</f>
        <v>ECL-172</v>
      </c>
      <c r="B142" t="s">
        <v>6</v>
      </c>
      <c r="C142">
        <v>172</v>
      </c>
      <c r="D142" t="s">
        <v>147</v>
      </c>
      <c r="E142" t="s">
        <v>267</v>
      </c>
      <c r="F142">
        <v>1</v>
      </c>
      <c r="H142" s="1">
        <v>46106</v>
      </c>
      <c r="I142" s="2">
        <f t="shared" si="2"/>
        <v>0.50991111111111109</v>
      </c>
    </row>
    <row r="143" spans="1:9" x14ac:dyDescent="0.25">
      <c r="A143" t="str">
        <f>Collection[[#This Row],[Set]]&amp;"-"&amp;Collection[[#This Row],[CardNo]]</f>
        <v>ECL-173</v>
      </c>
      <c r="B143" t="s">
        <v>6</v>
      </c>
      <c r="C143">
        <v>173</v>
      </c>
      <c r="D143" t="s">
        <v>148</v>
      </c>
      <c r="E143" t="s">
        <v>269</v>
      </c>
      <c r="F143">
        <v>4</v>
      </c>
      <c r="H143" s="1">
        <v>46106</v>
      </c>
      <c r="I143" s="2">
        <f t="shared" si="2"/>
        <v>0.50991111111111109</v>
      </c>
    </row>
    <row r="144" spans="1:9" x14ac:dyDescent="0.25">
      <c r="A144" t="str">
        <f>Collection[[#This Row],[Set]]&amp;"-"&amp;Collection[[#This Row],[CardNo]]</f>
        <v>ECL-174</v>
      </c>
      <c r="B144" t="s">
        <v>6</v>
      </c>
      <c r="C144">
        <v>174</v>
      </c>
      <c r="D144" t="s">
        <v>149</v>
      </c>
      <c r="E144" t="s">
        <v>308</v>
      </c>
      <c r="F144">
        <v>3</v>
      </c>
      <c r="H144" s="1">
        <v>46106</v>
      </c>
      <c r="I144" s="2">
        <f t="shared" si="2"/>
        <v>0.50991111111111109</v>
      </c>
    </row>
    <row r="145" spans="1:9" x14ac:dyDescent="0.25">
      <c r="A145" t="str">
        <f>Collection[[#This Row],[Set]]&amp;"-"&amp;Collection[[#This Row],[CardNo]]</f>
        <v>ECL-175</v>
      </c>
      <c r="B145" t="s">
        <v>6</v>
      </c>
      <c r="C145">
        <v>175</v>
      </c>
      <c r="D145" t="s">
        <v>150</v>
      </c>
      <c r="E145" t="s">
        <v>291</v>
      </c>
      <c r="F145">
        <v>1</v>
      </c>
      <c r="H145" s="1">
        <v>46106</v>
      </c>
      <c r="I145" s="2">
        <f t="shared" si="2"/>
        <v>0.50991111111111109</v>
      </c>
    </row>
    <row r="146" spans="1:9" x14ac:dyDescent="0.25">
      <c r="A146" t="str">
        <f>Collection[[#This Row],[Set]]&amp;"-"&amp;Collection[[#This Row],[CardNo]]</f>
        <v>ECL-176</v>
      </c>
      <c r="B146" t="s">
        <v>6</v>
      </c>
      <c r="C146">
        <v>176</v>
      </c>
      <c r="D146" t="s">
        <v>151</v>
      </c>
      <c r="E146" t="s">
        <v>269</v>
      </c>
      <c r="F146">
        <v>1</v>
      </c>
      <c r="H146" s="1">
        <v>46106</v>
      </c>
      <c r="I146" s="2">
        <f t="shared" si="2"/>
        <v>0.50991111111111109</v>
      </c>
    </row>
    <row r="147" spans="1:9" x14ac:dyDescent="0.25">
      <c r="A147" t="str">
        <f>Collection[[#This Row],[Set]]&amp;"-"&amp;Collection[[#This Row],[CardNo]]</f>
        <v>ECL-177</v>
      </c>
      <c r="B147" t="s">
        <v>6</v>
      </c>
      <c r="C147">
        <v>177</v>
      </c>
      <c r="D147" t="s">
        <v>152</v>
      </c>
      <c r="E147" t="s">
        <v>312</v>
      </c>
      <c r="F147">
        <v>3</v>
      </c>
      <c r="H147" s="1">
        <v>46106</v>
      </c>
      <c r="I147" s="2">
        <f t="shared" si="2"/>
        <v>0.50991111111111109</v>
      </c>
    </row>
    <row r="148" spans="1:9" x14ac:dyDescent="0.25">
      <c r="A148" t="str">
        <f>Collection[[#This Row],[Set]]&amp;"-"&amp;Collection[[#This Row],[CardNo]]</f>
        <v>ECL-178</v>
      </c>
      <c r="B148" t="s">
        <v>6</v>
      </c>
      <c r="C148">
        <v>178</v>
      </c>
      <c r="D148" t="s">
        <v>153</v>
      </c>
      <c r="E148" t="s">
        <v>237</v>
      </c>
      <c r="F148">
        <v>3</v>
      </c>
      <c r="G148">
        <v>1</v>
      </c>
      <c r="H148" s="1">
        <v>46106</v>
      </c>
      <c r="I148" s="2">
        <f t="shared" si="2"/>
        <v>0.50991111111111109</v>
      </c>
    </row>
    <row r="149" spans="1:9" x14ac:dyDescent="0.25">
      <c r="A149" t="str">
        <f>Collection[[#This Row],[Set]]&amp;"-"&amp;Collection[[#This Row],[CardNo]]</f>
        <v>ECL-179</v>
      </c>
      <c r="B149" t="s">
        <v>6</v>
      </c>
      <c r="C149">
        <v>179</v>
      </c>
      <c r="D149" t="s">
        <v>154</v>
      </c>
      <c r="E149" t="s">
        <v>313</v>
      </c>
      <c r="F149">
        <v>2</v>
      </c>
      <c r="H149" s="1">
        <v>46106</v>
      </c>
      <c r="I149" s="2">
        <f t="shared" si="2"/>
        <v>0.50991111111111109</v>
      </c>
    </row>
    <row r="150" spans="1:9" x14ac:dyDescent="0.25">
      <c r="A150" t="str">
        <f>Collection[[#This Row],[Set]]&amp;"-"&amp;Collection[[#This Row],[CardNo]]</f>
        <v>ECL-180</v>
      </c>
      <c r="B150" t="s">
        <v>6</v>
      </c>
      <c r="C150">
        <v>180</v>
      </c>
      <c r="D150" t="s">
        <v>155</v>
      </c>
      <c r="E150" t="s">
        <v>294</v>
      </c>
      <c r="F150">
        <v>2</v>
      </c>
      <c r="H150" s="1">
        <v>46106</v>
      </c>
      <c r="I150" s="2">
        <f t="shared" si="2"/>
        <v>0.50991111111111109</v>
      </c>
    </row>
    <row r="151" spans="1:9" x14ac:dyDescent="0.25">
      <c r="A151" t="str">
        <f>Collection[[#This Row],[Set]]&amp;"-"&amp;Collection[[#This Row],[CardNo]]</f>
        <v>ECL-181</v>
      </c>
      <c r="B151" t="s">
        <v>6</v>
      </c>
      <c r="C151">
        <v>181</v>
      </c>
      <c r="D151" t="s">
        <v>156</v>
      </c>
      <c r="E151" t="s">
        <v>314</v>
      </c>
      <c r="F151">
        <v>4</v>
      </c>
      <c r="H151" s="1">
        <v>46106</v>
      </c>
      <c r="I151" s="2">
        <f t="shared" si="2"/>
        <v>0.50991111111111109</v>
      </c>
    </row>
    <row r="152" spans="1:9" x14ac:dyDescent="0.25">
      <c r="A152" t="str">
        <f>Collection[[#This Row],[Set]]&amp;"-"&amp;Collection[[#This Row],[CardNo]]</f>
        <v>ECL-182</v>
      </c>
      <c r="B152" t="s">
        <v>6</v>
      </c>
      <c r="C152">
        <v>182</v>
      </c>
      <c r="D152" t="s">
        <v>157</v>
      </c>
      <c r="E152" t="s">
        <v>251</v>
      </c>
      <c r="F152">
        <v>4</v>
      </c>
      <c r="H152" s="1">
        <v>46106</v>
      </c>
      <c r="I152" s="2">
        <f t="shared" si="2"/>
        <v>0.50991111111111109</v>
      </c>
    </row>
    <row r="153" spans="1:9" x14ac:dyDescent="0.25">
      <c r="A153" t="str">
        <f>Collection[[#This Row],[Set]]&amp;"-"&amp;Collection[[#This Row],[CardNo]]</f>
        <v>ECL-183</v>
      </c>
      <c r="B153" t="s">
        <v>6</v>
      </c>
      <c r="C153">
        <v>183</v>
      </c>
      <c r="D153" t="s">
        <v>158</v>
      </c>
      <c r="E153" t="s">
        <v>299</v>
      </c>
      <c r="F153">
        <v>3</v>
      </c>
      <c r="G153">
        <v>1</v>
      </c>
      <c r="H153" s="1">
        <v>46106</v>
      </c>
      <c r="I153" s="2">
        <f t="shared" si="2"/>
        <v>0.50991111111111109</v>
      </c>
    </row>
    <row r="154" spans="1:9" x14ac:dyDescent="0.25">
      <c r="A154" t="str">
        <f>Collection[[#This Row],[Set]]&amp;"-"&amp;Collection[[#This Row],[CardNo]]</f>
        <v>ECL-184</v>
      </c>
      <c r="B154" t="s">
        <v>6</v>
      </c>
      <c r="C154">
        <v>184</v>
      </c>
      <c r="D154" t="s">
        <v>159</v>
      </c>
      <c r="E154" t="s">
        <v>315</v>
      </c>
      <c r="F154">
        <v>1</v>
      </c>
      <c r="H154" s="1">
        <v>46106</v>
      </c>
      <c r="I154" s="2">
        <f t="shared" si="2"/>
        <v>0.50991111111111109</v>
      </c>
    </row>
    <row r="155" spans="1:9" x14ac:dyDescent="0.25">
      <c r="A155" t="str">
        <f>Collection[[#This Row],[Set]]&amp;"-"&amp;Collection[[#This Row],[CardNo]]</f>
        <v>ECL-185</v>
      </c>
      <c r="B155" t="s">
        <v>6</v>
      </c>
      <c r="C155">
        <v>185</v>
      </c>
      <c r="D155" t="s">
        <v>160</v>
      </c>
      <c r="E155" t="s">
        <v>315</v>
      </c>
      <c r="F155">
        <v>1</v>
      </c>
      <c r="H155" s="1">
        <v>46106</v>
      </c>
      <c r="I155" s="2">
        <f t="shared" si="2"/>
        <v>0.50991111111111109</v>
      </c>
    </row>
    <row r="156" spans="1:9" x14ac:dyDescent="0.25">
      <c r="A156" t="str">
        <f>Collection[[#This Row],[Set]]&amp;"-"&amp;Collection[[#This Row],[CardNo]]</f>
        <v>ECL-186</v>
      </c>
      <c r="B156" t="s">
        <v>6</v>
      </c>
      <c r="C156">
        <v>186</v>
      </c>
      <c r="D156" t="s">
        <v>161</v>
      </c>
      <c r="E156" t="s">
        <v>316</v>
      </c>
      <c r="F156">
        <v>1</v>
      </c>
      <c r="H156" s="1">
        <v>46106</v>
      </c>
      <c r="I156" s="2">
        <f t="shared" si="2"/>
        <v>0.50991111111111109</v>
      </c>
    </row>
    <row r="157" spans="1:9" x14ac:dyDescent="0.25">
      <c r="A157" t="str">
        <f>Collection[[#This Row],[Set]]&amp;"-"&amp;Collection[[#This Row],[CardNo]]</f>
        <v>ECL-187</v>
      </c>
      <c r="B157" t="s">
        <v>6</v>
      </c>
      <c r="C157">
        <v>187</v>
      </c>
      <c r="D157" t="s">
        <v>162</v>
      </c>
      <c r="E157" t="s">
        <v>317</v>
      </c>
      <c r="F157">
        <v>1</v>
      </c>
      <c r="H157" s="1">
        <v>46106</v>
      </c>
      <c r="I157" s="2">
        <f t="shared" si="2"/>
        <v>0.50991111111111109</v>
      </c>
    </row>
    <row r="158" spans="1:9" x14ac:dyDescent="0.25">
      <c r="A158" t="str">
        <f>Collection[[#This Row],[Set]]&amp;"-"&amp;Collection[[#This Row],[CardNo]]</f>
        <v>ECL-188</v>
      </c>
      <c r="B158" t="s">
        <v>6</v>
      </c>
      <c r="C158">
        <v>188</v>
      </c>
      <c r="D158" t="s">
        <v>163</v>
      </c>
      <c r="E158" t="s">
        <v>297</v>
      </c>
      <c r="F158">
        <v>1</v>
      </c>
      <c r="H158" s="1">
        <v>46106</v>
      </c>
      <c r="I158" s="2">
        <f t="shared" si="2"/>
        <v>0.50991111111111109</v>
      </c>
    </row>
    <row r="159" spans="1:9" x14ac:dyDescent="0.25">
      <c r="A159" t="str">
        <f>Collection[[#This Row],[Set]]&amp;"-"&amp;Collection[[#This Row],[CardNo]]</f>
        <v>ECL-190</v>
      </c>
      <c r="B159" t="s">
        <v>6</v>
      </c>
      <c r="C159">
        <v>190</v>
      </c>
      <c r="D159" t="s">
        <v>164</v>
      </c>
      <c r="E159" t="s">
        <v>250</v>
      </c>
      <c r="F159">
        <v>1</v>
      </c>
      <c r="H159" s="1">
        <v>46106</v>
      </c>
      <c r="I159" s="2">
        <f t="shared" si="2"/>
        <v>0.50991111111111109</v>
      </c>
    </row>
    <row r="160" spans="1:9" x14ac:dyDescent="0.25">
      <c r="A160" t="str">
        <f>Collection[[#This Row],[Set]]&amp;"-"&amp;Collection[[#This Row],[CardNo]]</f>
        <v>ECL-191</v>
      </c>
      <c r="B160" t="s">
        <v>6</v>
      </c>
      <c r="C160">
        <v>191</v>
      </c>
      <c r="D160" t="s">
        <v>165</v>
      </c>
      <c r="E160" t="s">
        <v>232</v>
      </c>
      <c r="F160">
        <v>4</v>
      </c>
      <c r="H160" s="1">
        <v>46106</v>
      </c>
      <c r="I160" s="2">
        <f t="shared" si="2"/>
        <v>0.50991111111111109</v>
      </c>
    </row>
    <row r="161" spans="1:9" x14ac:dyDescent="0.25">
      <c r="A161" t="str">
        <f>Collection[[#This Row],[Set]]&amp;"-"&amp;Collection[[#This Row],[CardNo]]</f>
        <v>ECL-192</v>
      </c>
      <c r="B161" t="s">
        <v>6</v>
      </c>
      <c r="C161">
        <v>192</v>
      </c>
      <c r="D161" t="s">
        <v>166</v>
      </c>
      <c r="E161" t="s">
        <v>279</v>
      </c>
      <c r="F161">
        <v>1</v>
      </c>
      <c r="G161">
        <v>1</v>
      </c>
      <c r="H161" s="1">
        <v>46106</v>
      </c>
      <c r="I161" s="2">
        <f t="shared" si="2"/>
        <v>0.50991111111111109</v>
      </c>
    </row>
    <row r="162" spans="1:9" x14ac:dyDescent="0.25">
      <c r="A162" t="str">
        <f>Collection[[#This Row],[Set]]&amp;"-"&amp;Collection[[#This Row],[CardNo]]</f>
        <v>ECL-194</v>
      </c>
      <c r="B162" t="s">
        <v>6</v>
      </c>
      <c r="C162">
        <v>194</v>
      </c>
      <c r="D162" t="s">
        <v>167</v>
      </c>
      <c r="E162" t="s">
        <v>233</v>
      </c>
      <c r="F162">
        <v>2</v>
      </c>
      <c r="H162" s="1">
        <v>46106</v>
      </c>
      <c r="I162" s="2">
        <f t="shared" si="2"/>
        <v>0.50991111111111109</v>
      </c>
    </row>
    <row r="163" spans="1:9" x14ac:dyDescent="0.25">
      <c r="A163" t="str">
        <f>Collection[[#This Row],[Set]]&amp;"-"&amp;Collection[[#This Row],[CardNo]]</f>
        <v>ECL-196</v>
      </c>
      <c r="B163" t="s">
        <v>6</v>
      </c>
      <c r="C163">
        <v>196</v>
      </c>
      <c r="D163" t="s">
        <v>168</v>
      </c>
      <c r="E163" t="s">
        <v>271</v>
      </c>
      <c r="F163">
        <v>3</v>
      </c>
      <c r="H163" s="1">
        <v>46106</v>
      </c>
      <c r="I163" s="2">
        <f t="shared" si="2"/>
        <v>0.50991111111111109</v>
      </c>
    </row>
    <row r="164" spans="1:9" x14ac:dyDescent="0.25">
      <c r="A164" t="str">
        <f>Collection[[#This Row],[Set]]&amp;"-"&amp;Collection[[#This Row],[CardNo]]</f>
        <v>ECL-197</v>
      </c>
      <c r="B164" t="s">
        <v>6</v>
      </c>
      <c r="C164">
        <v>197</v>
      </c>
      <c r="D164" t="s">
        <v>169</v>
      </c>
      <c r="E164" t="s">
        <v>257</v>
      </c>
      <c r="F164">
        <v>3</v>
      </c>
      <c r="H164" s="1">
        <v>46106</v>
      </c>
      <c r="I164" s="2">
        <f t="shared" si="2"/>
        <v>0.50991111111111109</v>
      </c>
    </row>
    <row r="165" spans="1:9" x14ac:dyDescent="0.25">
      <c r="A165" t="str">
        <f>Collection[[#This Row],[Set]]&amp;"-"&amp;Collection[[#This Row],[CardNo]]</f>
        <v>ECL-198</v>
      </c>
      <c r="B165" t="s">
        <v>6</v>
      </c>
      <c r="C165">
        <v>198</v>
      </c>
      <c r="D165" t="s">
        <v>170</v>
      </c>
      <c r="E165" t="s">
        <v>318</v>
      </c>
      <c r="F165">
        <v>1</v>
      </c>
      <c r="H165" s="1">
        <v>46106</v>
      </c>
      <c r="I165" s="2">
        <f t="shared" si="2"/>
        <v>0.50991111111111109</v>
      </c>
    </row>
    <row r="166" spans="1:9" x14ac:dyDescent="0.25">
      <c r="A166" t="str">
        <f>Collection[[#This Row],[Set]]&amp;"-"&amp;Collection[[#This Row],[CardNo]]</f>
        <v>ECL-200</v>
      </c>
      <c r="B166" t="s">
        <v>6</v>
      </c>
      <c r="C166">
        <v>200</v>
      </c>
      <c r="D166" t="s">
        <v>171</v>
      </c>
      <c r="E166" t="s">
        <v>247</v>
      </c>
      <c r="F166">
        <v>3</v>
      </c>
      <c r="H166" s="1">
        <v>46106</v>
      </c>
      <c r="I166" s="2">
        <f t="shared" si="2"/>
        <v>0.50991111111111109</v>
      </c>
    </row>
    <row r="167" spans="1:9" x14ac:dyDescent="0.25">
      <c r="A167" t="str">
        <f>Collection[[#This Row],[Set]]&amp;"-"&amp;Collection[[#This Row],[CardNo]]</f>
        <v>ECL-201</v>
      </c>
      <c r="B167" t="s">
        <v>6</v>
      </c>
      <c r="C167">
        <v>201</v>
      </c>
      <c r="D167" t="s">
        <v>172</v>
      </c>
      <c r="E167" t="s">
        <v>259</v>
      </c>
      <c r="F167">
        <v>1</v>
      </c>
      <c r="H167" s="1">
        <v>46106</v>
      </c>
      <c r="I167" s="2">
        <f t="shared" si="2"/>
        <v>0.50991111111111109</v>
      </c>
    </row>
    <row r="168" spans="1:9" x14ac:dyDescent="0.25">
      <c r="A168" t="str">
        <f>Collection[[#This Row],[Set]]&amp;"-"&amp;Collection[[#This Row],[CardNo]]</f>
        <v>ECL-202</v>
      </c>
      <c r="B168" t="s">
        <v>6</v>
      </c>
      <c r="C168">
        <v>202</v>
      </c>
      <c r="D168" t="s">
        <v>173</v>
      </c>
      <c r="E168" t="s">
        <v>253</v>
      </c>
      <c r="F168">
        <v>1</v>
      </c>
      <c r="H168" s="1">
        <v>46106</v>
      </c>
      <c r="I168" s="2">
        <f t="shared" si="2"/>
        <v>0.50991111111111109</v>
      </c>
    </row>
    <row r="169" spans="1:9" x14ac:dyDescent="0.25">
      <c r="A169" t="str">
        <f>Collection[[#This Row],[Set]]&amp;"-"&amp;Collection[[#This Row],[CardNo]]</f>
        <v>ECL-203</v>
      </c>
      <c r="B169" t="s">
        <v>6</v>
      </c>
      <c r="C169">
        <v>203</v>
      </c>
      <c r="D169" t="s">
        <v>174</v>
      </c>
      <c r="E169" t="s">
        <v>319</v>
      </c>
      <c r="F169">
        <v>4</v>
      </c>
      <c r="H169" s="1">
        <v>46106</v>
      </c>
      <c r="I169" s="2">
        <f t="shared" si="2"/>
        <v>0.50991111111111109</v>
      </c>
    </row>
    <row r="170" spans="1:9" x14ac:dyDescent="0.25">
      <c r="A170" t="str">
        <f>Collection[[#This Row],[Set]]&amp;"-"&amp;Collection[[#This Row],[CardNo]]</f>
        <v>ECL-206</v>
      </c>
      <c r="B170" t="s">
        <v>6</v>
      </c>
      <c r="C170">
        <v>206</v>
      </c>
      <c r="D170" t="s">
        <v>175</v>
      </c>
      <c r="E170" t="s">
        <v>320</v>
      </c>
      <c r="F170">
        <v>2</v>
      </c>
      <c r="H170" s="1">
        <v>46106</v>
      </c>
      <c r="I170" s="2">
        <f t="shared" si="2"/>
        <v>0.50991111111111109</v>
      </c>
    </row>
    <row r="171" spans="1:9" x14ac:dyDescent="0.25">
      <c r="A171" t="str">
        <f>Collection[[#This Row],[Set]]&amp;"-"&amp;Collection[[#This Row],[CardNo]]</f>
        <v>ECL-207</v>
      </c>
      <c r="B171" t="s">
        <v>6</v>
      </c>
      <c r="C171">
        <v>207</v>
      </c>
      <c r="D171" t="s">
        <v>176</v>
      </c>
      <c r="E171" t="s">
        <v>288</v>
      </c>
      <c r="F171">
        <v>2</v>
      </c>
      <c r="H171" s="1">
        <v>46106</v>
      </c>
      <c r="I171" s="2">
        <f t="shared" si="2"/>
        <v>0.50991111111111109</v>
      </c>
    </row>
    <row r="172" spans="1:9" x14ac:dyDescent="0.25">
      <c r="A172" t="str">
        <f>Collection[[#This Row],[Set]]&amp;"-"&amp;Collection[[#This Row],[CardNo]]</f>
        <v>ECL-210</v>
      </c>
      <c r="B172" t="s">
        <v>6</v>
      </c>
      <c r="C172">
        <v>210</v>
      </c>
      <c r="D172" t="s">
        <v>177</v>
      </c>
      <c r="E172" t="s">
        <v>228</v>
      </c>
      <c r="F172">
        <v>3</v>
      </c>
      <c r="H172" s="1">
        <v>46106</v>
      </c>
      <c r="I172" s="2">
        <f t="shared" si="2"/>
        <v>0.50991111111111109</v>
      </c>
    </row>
    <row r="173" spans="1:9" x14ac:dyDescent="0.25">
      <c r="A173" t="str">
        <f>Collection[[#This Row],[Set]]&amp;"-"&amp;Collection[[#This Row],[CardNo]]</f>
        <v>ECL-211</v>
      </c>
      <c r="B173" t="s">
        <v>6</v>
      </c>
      <c r="C173">
        <v>211</v>
      </c>
      <c r="D173" t="s">
        <v>178</v>
      </c>
      <c r="E173" t="s">
        <v>321</v>
      </c>
      <c r="F173">
        <v>3</v>
      </c>
      <c r="H173" s="1">
        <v>46106</v>
      </c>
      <c r="I173" s="2">
        <f t="shared" si="2"/>
        <v>0.50991111111111109</v>
      </c>
    </row>
    <row r="174" spans="1:9" x14ac:dyDescent="0.25">
      <c r="A174" t="str">
        <f>Collection[[#This Row],[Set]]&amp;"-"&amp;Collection[[#This Row],[CardNo]]</f>
        <v>ECL-214</v>
      </c>
      <c r="B174" t="s">
        <v>6</v>
      </c>
      <c r="C174">
        <v>214</v>
      </c>
      <c r="D174" t="s">
        <v>179</v>
      </c>
      <c r="E174" t="s">
        <v>322</v>
      </c>
      <c r="F174">
        <v>1</v>
      </c>
      <c r="H174" s="1">
        <v>46106</v>
      </c>
      <c r="I174" s="2">
        <f t="shared" si="2"/>
        <v>0.50991111111111109</v>
      </c>
    </row>
    <row r="175" spans="1:9" x14ac:dyDescent="0.25">
      <c r="A175" t="str">
        <f>Collection[[#This Row],[Set]]&amp;"-"&amp;Collection[[#This Row],[CardNo]]</f>
        <v>ECL-215</v>
      </c>
      <c r="B175" t="s">
        <v>6</v>
      </c>
      <c r="C175">
        <v>215</v>
      </c>
      <c r="D175" t="s">
        <v>180</v>
      </c>
      <c r="E175" t="s">
        <v>235</v>
      </c>
      <c r="F175">
        <v>1</v>
      </c>
      <c r="H175" s="1">
        <v>46106</v>
      </c>
      <c r="I175" s="2">
        <f t="shared" si="2"/>
        <v>0.50991111111111109</v>
      </c>
    </row>
    <row r="176" spans="1:9" x14ac:dyDescent="0.25">
      <c r="A176" t="str">
        <f>Collection[[#This Row],[Set]]&amp;"-"&amp;Collection[[#This Row],[CardNo]]</f>
        <v>ECL-216</v>
      </c>
      <c r="B176" t="s">
        <v>6</v>
      </c>
      <c r="C176">
        <v>216</v>
      </c>
      <c r="D176" t="s">
        <v>181</v>
      </c>
      <c r="E176" t="s">
        <v>260</v>
      </c>
      <c r="F176">
        <v>1</v>
      </c>
      <c r="H176" s="1">
        <v>46106</v>
      </c>
      <c r="I176" s="2">
        <f t="shared" si="2"/>
        <v>0.50991111111111109</v>
      </c>
    </row>
    <row r="177" spans="1:9" x14ac:dyDescent="0.25">
      <c r="A177" t="str">
        <f>Collection[[#This Row],[Set]]&amp;"-"&amp;Collection[[#This Row],[CardNo]]</f>
        <v>ECL-217</v>
      </c>
      <c r="B177" t="s">
        <v>6</v>
      </c>
      <c r="C177">
        <v>217</v>
      </c>
      <c r="D177" t="s">
        <v>182</v>
      </c>
      <c r="E177" t="s">
        <v>253</v>
      </c>
      <c r="F177">
        <v>2</v>
      </c>
      <c r="H177" s="1">
        <v>46106</v>
      </c>
      <c r="I177" s="2">
        <f t="shared" si="2"/>
        <v>0.50991111111111109</v>
      </c>
    </row>
    <row r="178" spans="1:9" x14ac:dyDescent="0.25">
      <c r="A178" t="str">
        <f>Collection[[#This Row],[Set]]&amp;"-"&amp;Collection[[#This Row],[CardNo]]</f>
        <v>ECL-219</v>
      </c>
      <c r="B178" t="s">
        <v>6</v>
      </c>
      <c r="C178">
        <v>219</v>
      </c>
      <c r="D178" t="s">
        <v>183</v>
      </c>
      <c r="E178" t="s">
        <v>244</v>
      </c>
      <c r="F178">
        <v>1</v>
      </c>
      <c r="H178" s="1">
        <v>46106</v>
      </c>
      <c r="I178" s="2">
        <f t="shared" si="2"/>
        <v>0.50991111111111109</v>
      </c>
    </row>
    <row r="179" spans="1:9" x14ac:dyDescent="0.25">
      <c r="A179" t="str">
        <f>Collection[[#This Row],[Set]]&amp;"-"&amp;Collection[[#This Row],[CardNo]]</f>
        <v>ECL-220</v>
      </c>
      <c r="B179" t="s">
        <v>6</v>
      </c>
      <c r="C179">
        <v>220</v>
      </c>
      <c r="D179" t="s">
        <v>184</v>
      </c>
      <c r="E179" t="s">
        <v>247</v>
      </c>
      <c r="F179">
        <v>1</v>
      </c>
      <c r="H179" s="1">
        <v>46106</v>
      </c>
      <c r="I179" s="2">
        <f t="shared" si="2"/>
        <v>0.50991111111111109</v>
      </c>
    </row>
    <row r="180" spans="1:9" x14ac:dyDescent="0.25">
      <c r="A180" t="str">
        <f>Collection[[#This Row],[Set]]&amp;"-"&amp;Collection[[#This Row],[CardNo]]</f>
        <v>ECL-221</v>
      </c>
      <c r="B180" t="s">
        <v>6</v>
      </c>
      <c r="C180">
        <v>221</v>
      </c>
      <c r="D180" t="s">
        <v>185</v>
      </c>
      <c r="E180" t="s">
        <v>323</v>
      </c>
      <c r="F180">
        <v>1</v>
      </c>
      <c r="H180" s="1">
        <v>46106</v>
      </c>
      <c r="I180" s="2">
        <f t="shared" si="2"/>
        <v>0.50991111111111109</v>
      </c>
    </row>
    <row r="181" spans="1:9" x14ac:dyDescent="0.25">
      <c r="A181" t="str">
        <f>Collection[[#This Row],[Set]]&amp;"-"&amp;Collection[[#This Row],[CardNo]]</f>
        <v>ECL-223</v>
      </c>
      <c r="B181" t="s">
        <v>6</v>
      </c>
      <c r="C181">
        <v>223</v>
      </c>
      <c r="D181" t="s">
        <v>186</v>
      </c>
      <c r="E181" t="s">
        <v>253</v>
      </c>
      <c r="F181">
        <v>3</v>
      </c>
      <c r="G181">
        <v>1</v>
      </c>
      <c r="H181" s="1">
        <v>46106</v>
      </c>
      <c r="I181" s="2">
        <f t="shared" si="2"/>
        <v>0.50991111111111109</v>
      </c>
    </row>
    <row r="182" spans="1:9" x14ac:dyDescent="0.25">
      <c r="A182" t="str">
        <f>Collection[[#This Row],[Set]]&amp;"-"&amp;Collection[[#This Row],[CardNo]]</f>
        <v>ECL-225</v>
      </c>
      <c r="B182" t="s">
        <v>6</v>
      </c>
      <c r="C182">
        <v>225</v>
      </c>
      <c r="D182" t="s">
        <v>187</v>
      </c>
      <c r="E182" t="s">
        <v>303</v>
      </c>
      <c r="F182">
        <v>4</v>
      </c>
      <c r="H182" s="1">
        <v>46106</v>
      </c>
      <c r="I182" s="2">
        <f t="shared" si="2"/>
        <v>0.50991111111111109</v>
      </c>
    </row>
    <row r="183" spans="1:9" x14ac:dyDescent="0.25">
      <c r="A183" t="str">
        <f>Collection[[#This Row],[Set]]&amp;"-"&amp;Collection[[#This Row],[CardNo]]</f>
        <v>ECL-226</v>
      </c>
      <c r="B183" t="s">
        <v>6</v>
      </c>
      <c r="C183">
        <v>226</v>
      </c>
      <c r="D183" t="s">
        <v>188</v>
      </c>
      <c r="E183" t="s">
        <v>304</v>
      </c>
      <c r="F183">
        <v>4</v>
      </c>
      <c r="H183" s="1">
        <v>46106</v>
      </c>
      <c r="I183" s="2">
        <f t="shared" si="2"/>
        <v>0.50991111111111109</v>
      </c>
    </row>
    <row r="184" spans="1:9" x14ac:dyDescent="0.25">
      <c r="A184" t="str">
        <f>Collection[[#This Row],[Set]]&amp;"-"&amp;Collection[[#This Row],[CardNo]]</f>
        <v>ECL-227</v>
      </c>
      <c r="B184" t="s">
        <v>6</v>
      </c>
      <c r="C184">
        <v>227</v>
      </c>
      <c r="D184" t="s">
        <v>189</v>
      </c>
      <c r="E184" t="s">
        <v>229</v>
      </c>
      <c r="F184">
        <v>1</v>
      </c>
      <c r="H184" s="1">
        <v>46106</v>
      </c>
      <c r="I184" s="2">
        <f t="shared" si="2"/>
        <v>0.50991111111111109</v>
      </c>
    </row>
    <row r="185" spans="1:9" x14ac:dyDescent="0.25">
      <c r="A185" t="str">
        <f>Collection[[#This Row],[Set]]&amp;"-"&amp;Collection[[#This Row],[CardNo]]</f>
        <v>ECL-228</v>
      </c>
      <c r="B185" t="s">
        <v>6</v>
      </c>
      <c r="C185">
        <v>228</v>
      </c>
      <c r="D185" t="s">
        <v>190</v>
      </c>
      <c r="E185" t="s">
        <v>257</v>
      </c>
      <c r="F185">
        <v>1</v>
      </c>
      <c r="H185" s="1">
        <v>46106</v>
      </c>
      <c r="I185" s="2">
        <f t="shared" si="2"/>
        <v>0.50991111111111109</v>
      </c>
    </row>
    <row r="186" spans="1:9" x14ac:dyDescent="0.25">
      <c r="A186" t="str">
        <f>Collection[[#This Row],[Set]]&amp;"-"&amp;Collection[[#This Row],[CardNo]]</f>
        <v>ECL-230</v>
      </c>
      <c r="B186" t="s">
        <v>6</v>
      </c>
      <c r="C186">
        <v>230</v>
      </c>
      <c r="D186" t="s">
        <v>191</v>
      </c>
      <c r="E186" t="s">
        <v>306</v>
      </c>
      <c r="F186">
        <v>1</v>
      </c>
      <c r="H186" s="1">
        <v>46106</v>
      </c>
      <c r="I186" s="2">
        <f t="shared" si="2"/>
        <v>0.50991111111111109</v>
      </c>
    </row>
    <row r="187" spans="1:9" x14ac:dyDescent="0.25">
      <c r="A187" t="str">
        <f>Collection[[#This Row],[Set]]&amp;"-"&amp;Collection[[#This Row],[CardNo]]</f>
        <v>ECL-232</v>
      </c>
      <c r="B187" t="s">
        <v>6</v>
      </c>
      <c r="C187">
        <v>232</v>
      </c>
      <c r="D187" t="s">
        <v>192</v>
      </c>
      <c r="E187" t="s">
        <v>259</v>
      </c>
      <c r="F187">
        <v>1</v>
      </c>
      <c r="H187" s="1">
        <v>46106</v>
      </c>
      <c r="I187" s="2">
        <f t="shared" si="2"/>
        <v>0.50991111111111109</v>
      </c>
    </row>
    <row r="188" spans="1:9" x14ac:dyDescent="0.25">
      <c r="A188" t="str">
        <f>Collection[[#This Row],[Set]]&amp;"-"&amp;Collection[[#This Row],[CardNo]]</f>
        <v>ECL-234</v>
      </c>
      <c r="B188" t="s">
        <v>6</v>
      </c>
      <c r="C188">
        <v>234</v>
      </c>
      <c r="D188" t="s">
        <v>193</v>
      </c>
      <c r="E188" t="s">
        <v>321</v>
      </c>
      <c r="F188">
        <v>3</v>
      </c>
      <c r="H188" s="1">
        <v>46106</v>
      </c>
      <c r="I188" s="2">
        <f t="shared" si="2"/>
        <v>0.50991111111111109</v>
      </c>
    </row>
    <row r="189" spans="1:9" x14ac:dyDescent="0.25">
      <c r="A189" t="str">
        <f>Collection[[#This Row],[Set]]&amp;"-"&amp;Collection[[#This Row],[CardNo]]</f>
        <v>ECL-235</v>
      </c>
      <c r="B189" t="s">
        <v>6</v>
      </c>
      <c r="C189">
        <v>235</v>
      </c>
      <c r="D189" t="s">
        <v>194</v>
      </c>
      <c r="E189" t="s">
        <v>282</v>
      </c>
      <c r="F189">
        <v>4</v>
      </c>
      <c r="H189" s="1">
        <v>46106</v>
      </c>
      <c r="I189" s="2">
        <f t="shared" si="2"/>
        <v>0.50991111111111109</v>
      </c>
    </row>
    <row r="190" spans="1:9" x14ac:dyDescent="0.25">
      <c r="A190" t="str">
        <f>Collection[[#This Row],[Set]]&amp;"-"&amp;Collection[[#This Row],[CardNo]]</f>
        <v>ECL-236</v>
      </c>
      <c r="B190" t="s">
        <v>6</v>
      </c>
      <c r="C190">
        <v>236</v>
      </c>
      <c r="D190" t="s">
        <v>195</v>
      </c>
      <c r="E190" t="s">
        <v>259</v>
      </c>
      <c r="F190">
        <v>2</v>
      </c>
      <c r="H190" s="1">
        <v>46106</v>
      </c>
      <c r="I190" s="2">
        <f t="shared" si="2"/>
        <v>0.50991111111111109</v>
      </c>
    </row>
    <row r="191" spans="1:9" x14ac:dyDescent="0.25">
      <c r="A191" t="str">
        <f>Collection[[#This Row],[Set]]&amp;"-"&amp;Collection[[#This Row],[CardNo]]</f>
        <v>ECL-237</v>
      </c>
      <c r="B191" t="s">
        <v>6</v>
      </c>
      <c r="C191">
        <v>237</v>
      </c>
      <c r="D191" t="s">
        <v>196</v>
      </c>
      <c r="E191" t="s">
        <v>250</v>
      </c>
      <c r="F191">
        <v>1</v>
      </c>
      <c r="H191" s="1">
        <v>46106</v>
      </c>
      <c r="I191" s="2">
        <f t="shared" si="2"/>
        <v>0.50991111111111109</v>
      </c>
    </row>
    <row r="192" spans="1:9" x14ac:dyDescent="0.25">
      <c r="A192" t="str">
        <f>Collection[[#This Row],[Set]]&amp;"-"&amp;Collection[[#This Row],[CardNo]]</f>
        <v>ECL-238</v>
      </c>
      <c r="B192" t="s">
        <v>6</v>
      </c>
      <c r="C192">
        <v>238</v>
      </c>
      <c r="D192" t="s">
        <v>197</v>
      </c>
      <c r="E192" t="s">
        <v>289</v>
      </c>
      <c r="F192">
        <v>2</v>
      </c>
      <c r="H192" s="1">
        <v>46106</v>
      </c>
      <c r="I192" s="2">
        <f t="shared" si="2"/>
        <v>0.50991111111111109</v>
      </c>
    </row>
    <row r="193" spans="1:9" x14ac:dyDescent="0.25">
      <c r="A193" t="str">
        <f>Collection[[#This Row],[Set]]&amp;"-"&amp;Collection[[#This Row],[CardNo]]</f>
        <v>ECL-240</v>
      </c>
      <c r="B193" t="s">
        <v>6</v>
      </c>
      <c r="C193">
        <v>240</v>
      </c>
      <c r="D193" t="s">
        <v>198</v>
      </c>
      <c r="E193" t="s">
        <v>268</v>
      </c>
      <c r="F193">
        <v>1</v>
      </c>
      <c r="H193" s="1">
        <v>46106</v>
      </c>
      <c r="I193" s="2">
        <f t="shared" si="2"/>
        <v>0.50991111111111109</v>
      </c>
    </row>
    <row r="194" spans="1:9" x14ac:dyDescent="0.25">
      <c r="A194" t="str">
        <f>Collection[[#This Row],[Set]]&amp;"-"&amp;Collection[[#This Row],[CardNo]]</f>
        <v>ECL-242</v>
      </c>
      <c r="B194" t="s">
        <v>6</v>
      </c>
      <c r="C194">
        <v>242</v>
      </c>
      <c r="D194" t="s">
        <v>199</v>
      </c>
      <c r="E194" t="s">
        <v>245</v>
      </c>
      <c r="G194">
        <v>1</v>
      </c>
      <c r="H194" s="1">
        <v>46106</v>
      </c>
      <c r="I194" s="2">
        <f t="shared" si="2"/>
        <v>0.50991111111111109</v>
      </c>
    </row>
    <row r="195" spans="1:9" x14ac:dyDescent="0.25">
      <c r="A195" t="str">
        <f>Collection[[#This Row],[Set]]&amp;"-"&amp;Collection[[#This Row],[CardNo]]</f>
        <v>ECL-243</v>
      </c>
      <c r="B195" t="s">
        <v>6</v>
      </c>
      <c r="C195">
        <v>243</v>
      </c>
      <c r="D195" t="s">
        <v>200</v>
      </c>
      <c r="E195" t="s">
        <v>324</v>
      </c>
      <c r="F195">
        <v>3</v>
      </c>
      <c r="H195" s="1">
        <v>46106</v>
      </c>
      <c r="I195" s="2">
        <f t="shared" ref="I195:I237" si="3">229.46/30/15</f>
        <v>0.50991111111111109</v>
      </c>
    </row>
    <row r="196" spans="1:9" x14ac:dyDescent="0.25">
      <c r="A196" t="str">
        <f>Collection[[#This Row],[Set]]&amp;"-"&amp;Collection[[#This Row],[CardNo]]</f>
        <v>ECL-245</v>
      </c>
      <c r="B196" t="s">
        <v>6</v>
      </c>
      <c r="C196">
        <v>245</v>
      </c>
      <c r="D196" t="s">
        <v>201</v>
      </c>
      <c r="E196" t="s">
        <v>234</v>
      </c>
      <c r="F196">
        <v>1</v>
      </c>
      <c r="H196" s="1">
        <v>46106</v>
      </c>
      <c r="I196" s="2">
        <f t="shared" si="3"/>
        <v>0.50991111111111109</v>
      </c>
    </row>
    <row r="197" spans="1:9" x14ac:dyDescent="0.25">
      <c r="A197" t="str">
        <f>Collection[[#This Row],[Set]]&amp;"-"&amp;Collection[[#This Row],[CardNo]]</f>
        <v>ECL-246</v>
      </c>
      <c r="B197" t="s">
        <v>6</v>
      </c>
      <c r="C197">
        <v>246</v>
      </c>
      <c r="D197" t="s">
        <v>202</v>
      </c>
      <c r="E197" t="s">
        <v>309</v>
      </c>
      <c r="F197">
        <v>2</v>
      </c>
      <c r="H197" s="1">
        <v>46106</v>
      </c>
      <c r="I197" s="2">
        <f t="shared" si="3"/>
        <v>0.50991111111111109</v>
      </c>
    </row>
    <row r="198" spans="1:9" x14ac:dyDescent="0.25">
      <c r="A198" t="str">
        <f>Collection[[#This Row],[Set]]&amp;"-"&amp;Collection[[#This Row],[CardNo]]</f>
        <v>ECL-247</v>
      </c>
      <c r="B198" t="s">
        <v>6</v>
      </c>
      <c r="C198">
        <v>247</v>
      </c>
      <c r="D198" t="s">
        <v>203</v>
      </c>
      <c r="E198" t="s">
        <v>325</v>
      </c>
      <c r="F198">
        <v>1</v>
      </c>
      <c r="H198" s="1">
        <v>46106</v>
      </c>
      <c r="I198" s="2">
        <f t="shared" si="3"/>
        <v>0.50991111111111109</v>
      </c>
    </row>
    <row r="199" spans="1:9" x14ac:dyDescent="0.25">
      <c r="A199" t="str">
        <f>Collection[[#This Row],[Set]]&amp;"-"&amp;Collection[[#This Row],[CardNo]]</f>
        <v>ECL-248</v>
      </c>
      <c r="B199" t="s">
        <v>6</v>
      </c>
      <c r="C199">
        <v>248</v>
      </c>
      <c r="D199" t="s">
        <v>204</v>
      </c>
      <c r="E199" t="s">
        <v>240</v>
      </c>
      <c r="F199">
        <v>1</v>
      </c>
      <c r="H199" s="1">
        <v>46106</v>
      </c>
      <c r="I199" s="2">
        <f t="shared" si="3"/>
        <v>0.50991111111111109</v>
      </c>
    </row>
    <row r="200" spans="1:9" x14ac:dyDescent="0.25">
      <c r="A200" t="str">
        <f>Collection[[#This Row],[Set]]&amp;"-"&amp;Collection[[#This Row],[CardNo]]</f>
        <v>ECL-249</v>
      </c>
      <c r="B200" t="s">
        <v>6</v>
      </c>
      <c r="C200">
        <v>249</v>
      </c>
      <c r="D200" t="s">
        <v>205</v>
      </c>
      <c r="E200" t="s">
        <v>326</v>
      </c>
      <c r="F200">
        <v>1</v>
      </c>
      <c r="H200" s="1">
        <v>46106</v>
      </c>
      <c r="I200" s="2">
        <f t="shared" si="3"/>
        <v>0.50991111111111109</v>
      </c>
    </row>
    <row r="201" spans="1:9" x14ac:dyDescent="0.25">
      <c r="A201" t="str">
        <f>Collection[[#This Row],[Set]]&amp;"-"&amp;Collection[[#This Row],[CardNo]]</f>
        <v>ECL-250</v>
      </c>
      <c r="B201" t="s">
        <v>6</v>
      </c>
      <c r="C201">
        <v>250</v>
      </c>
      <c r="D201" t="s">
        <v>206</v>
      </c>
      <c r="E201" t="s">
        <v>286</v>
      </c>
      <c r="F201">
        <v>1</v>
      </c>
      <c r="H201" s="1">
        <v>46106</v>
      </c>
      <c r="I201" s="2">
        <f t="shared" si="3"/>
        <v>0.50991111111111109</v>
      </c>
    </row>
    <row r="202" spans="1:9" x14ac:dyDescent="0.25">
      <c r="A202" t="str">
        <f>Collection[[#This Row],[Set]]&amp;"-"&amp;Collection[[#This Row],[CardNo]]</f>
        <v>ECL-251</v>
      </c>
      <c r="B202" t="s">
        <v>6</v>
      </c>
      <c r="C202">
        <v>251</v>
      </c>
      <c r="D202" t="s">
        <v>207</v>
      </c>
      <c r="E202" t="s">
        <v>282</v>
      </c>
      <c r="F202">
        <v>2</v>
      </c>
      <c r="H202" s="1">
        <v>46106</v>
      </c>
      <c r="I202" s="2">
        <f t="shared" si="3"/>
        <v>0.50991111111111109</v>
      </c>
    </row>
    <row r="203" spans="1:9" x14ac:dyDescent="0.25">
      <c r="A203" t="str">
        <f>Collection[[#This Row],[Set]]&amp;"-"&amp;Collection[[#This Row],[CardNo]]</f>
        <v>ECL-252</v>
      </c>
      <c r="B203" t="s">
        <v>6</v>
      </c>
      <c r="C203">
        <v>252</v>
      </c>
      <c r="D203" t="s">
        <v>208</v>
      </c>
      <c r="E203" t="s">
        <v>288</v>
      </c>
      <c r="F203">
        <v>1</v>
      </c>
      <c r="H203" s="1">
        <v>46106</v>
      </c>
      <c r="I203" s="2">
        <f t="shared" si="3"/>
        <v>0.50991111111111109</v>
      </c>
    </row>
    <row r="204" spans="1:9" x14ac:dyDescent="0.25">
      <c r="A204" t="str">
        <f>Collection[[#This Row],[Set]]&amp;"-"&amp;Collection[[#This Row],[CardNo]]</f>
        <v>ECL-255</v>
      </c>
      <c r="B204" t="s">
        <v>6</v>
      </c>
      <c r="C204">
        <v>255</v>
      </c>
      <c r="D204" t="s">
        <v>209</v>
      </c>
      <c r="E204" t="s">
        <v>264</v>
      </c>
      <c r="F204">
        <v>3</v>
      </c>
      <c r="G204">
        <v>1</v>
      </c>
      <c r="H204" s="1">
        <v>46106</v>
      </c>
      <c r="I204" s="2">
        <f t="shared" si="3"/>
        <v>0.50991111111111109</v>
      </c>
    </row>
    <row r="205" spans="1:9" x14ac:dyDescent="0.25">
      <c r="A205" t="str">
        <f>Collection[[#This Row],[Set]]&amp;"-"&amp;Collection[[#This Row],[CardNo]]</f>
        <v>ECL-256</v>
      </c>
      <c r="B205" t="s">
        <v>6</v>
      </c>
      <c r="C205">
        <v>256</v>
      </c>
      <c r="D205" t="s">
        <v>210</v>
      </c>
      <c r="E205" t="s">
        <v>245</v>
      </c>
      <c r="F205">
        <v>3</v>
      </c>
      <c r="G205">
        <v>1</v>
      </c>
      <c r="H205" s="1">
        <v>46106</v>
      </c>
      <c r="I205" s="2">
        <f t="shared" si="3"/>
        <v>0.50991111111111109</v>
      </c>
    </row>
    <row r="206" spans="1:9" x14ac:dyDescent="0.25">
      <c r="A206" t="str">
        <f>Collection[[#This Row],[Set]]&amp;"-"&amp;Collection[[#This Row],[CardNo]]</f>
        <v>ECL-257</v>
      </c>
      <c r="B206" t="s">
        <v>6</v>
      </c>
      <c r="C206">
        <v>257</v>
      </c>
      <c r="D206" t="s">
        <v>211</v>
      </c>
      <c r="E206" t="s">
        <v>244</v>
      </c>
      <c r="F206">
        <v>2</v>
      </c>
      <c r="H206" s="1">
        <v>46106</v>
      </c>
      <c r="I206" s="2">
        <f t="shared" si="3"/>
        <v>0.50991111111111109</v>
      </c>
    </row>
    <row r="207" spans="1:9" x14ac:dyDescent="0.25">
      <c r="A207" t="str">
        <f>Collection[[#This Row],[Set]]&amp;"-"&amp;Collection[[#This Row],[CardNo]]</f>
        <v>ECL-259</v>
      </c>
      <c r="B207" t="s">
        <v>6</v>
      </c>
      <c r="C207">
        <v>259</v>
      </c>
      <c r="D207" t="s">
        <v>212</v>
      </c>
      <c r="E207" t="s">
        <v>327</v>
      </c>
      <c r="F207">
        <v>2</v>
      </c>
      <c r="G207">
        <v>1</v>
      </c>
      <c r="H207" s="1">
        <v>46106</v>
      </c>
      <c r="I207" s="2">
        <f t="shared" si="3"/>
        <v>0.50991111111111109</v>
      </c>
    </row>
    <row r="208" spans="1:9" x14ac:dyDescent="0.25">
      <c r="A208" t="str">
        <f>Collection[[#This Row],[Set]]&amp;"-"&amp;Collection[[#This Row],[CardNo]]</f>
        <v>ECL-260</v>
      </c>
      <c r="B208" t="s">
        <v>6</v>
      </c>
      <c r="C208">
        <v>260</v>
      </c>
      <c r="D208" t="s">
        <v>213</v>
      </c>
      <c r="E208" t="s">
        <v>307</v>
      </c>
      <c r="F208">
        <v>3</v>
      </c>
      <c r="G208">
        <v>2</v>
      </c>
      <c r="H208" s="1">
        <v>46106</v>
      </c>
      <c r="I208" s="2">
        <f t="shared" si="3"/>
        <v>0.50991111111111109</v>
      </c>
    </row>
    <row r="209" spans="1:9" x14ac:dyDescent="0.25">
      <c r="A209" t="str">
        <f>Collection[[#This Row],[Set]]&amp;"-"&amp;Collection[[#This Row],[CardNo]]</f>
        <v>ECL-261</v>
      </c>
      <c r="B209" t="s">
        <v>6</v>
      </c>
      <c r="C209">
        <v>261</v>
      </c>
      <c r="D209" t="s">
        <v>214</v>
      </c>
      <c r="E209" t="s">
        <v>241</v>
      </c>
      <c r="F209">
        <v>3</v>
      </c>
      <c r="H209" s="1">
        <v>46106</v>
      </c>
      <c r="I209" s="2">
        <f t="shared" si="3"/>
        <v>0.50991111111111109</v>
      </c>
    </row>
    <row r="210" spans="1:9" x14ac:dyDescent="0.25">
      <c r="A210" t="str">
        <f>Collection[[#This Row],[Set]]&amp;"-"&amp;Collection[[#This Row],[CardNo]]</f>
        <v>ECL-263</v>
      </c>
      <c r="B210" t="s">
        <v>6</v>
      </c>
      <c r="C210">
        <v>263</v>
      </c>
      <c r="D210" t="s">
        <v>215</v>
      </c>
      <c r="E210" t="s">
        <v>328</v>
      </c>
      <c r="F210">
        <v>3</v>
      </c>
      <c r="H210" s="1">
        <v>46106</v>
      </c>
      <c r="I210" s="2">
        <f t="shared" si="3"/>
        <v>0.50991111111111109</v>
      </c>
    </row>
    <row r="211" spans="1:9" x14ac:dyDescent="0.25">
      <c r="A211" t="str">
        <f>Collection[[#This Row],[Set]]&amp;"-"&amp;Collection[[#This Row],[CardNo]]</f>
        <v>ECL-264</v>
      </c>
      <c r="B211" t="s">
        <v>6</v>
      </c>
      <c r="C211">
        <v>264</v>
      </c>
      <c r="D211" t="s">
        <v>216</v>
      </c>
      <c r="E211" t="s">
        <v>328</v>
      </c>
      <c r="F211">
        <v>5</v>
      </c>
      <c r="H211" s="1">
        <v>46106</v>
      </c>
      <c r="I211" s="2">
        <f t="shared" si="3"/>
        <v>0.50991111111111109</v>
      </c>
    </row>
    <row r="212" spans="1:9" x14ac:dyDescent="0.25">
      <c r="A212" t="str">
        <f>Collection[[#This Row],[Set]]&amp;"-"&amp;Collection[[#This Row],[CardNo]]</f>
        <v>ECL-265</v>
      </c>
      <c r="B212" t="s">
        <v>6</v>
      </c>
      <c r="C212">
        <v>265</v>
      </c>
      <c r="D212" t="s">
        <v>217</v>
      </c>
      <c r="E212" t="s">
        <v>329</v>
      </c>
      <c r="F212">
        <v>1</v>
      </c>
      <c r="H212" s="1">
        <v>46106</v>
      </c>
      <c r="I212" s="2">
        <f t="shared" si="3"/>
        <v>0.50991111111111109</v>
      </c>
    </row>
    <row r="213" spans="1:9" x14ac:dyDescent="0.25">
      <c r="A213" t="str">
        <f>Collection[[#This Row],[Set]]&amp;"-"&amp;Collection[[#This Row],[CardNo]]</f>
        <v>ECL-267</v>
      </c>
      <c r="B213" t="s">
        <v>6</v>
      </c>
      <c r="C213">
        <v>267</v>
      </c>
      <c r="D213" t="s">
        <v>218</v>
      </c>
      <c r="E213" t="s">
        <v>329</v>
      </c>
      <c r="F213">
        <v>1</v>
      </c>
      <c r="H213" s="1">
        <v>46106</v>
      </c>
      <c r="I213" s="2">
        <f t="shared" si="3"/>
        <v>0.50991111111111109</v>
      </c>
    </row>
    <row r="214" spans="1:9" x14ac:dyDescent="0.25">
      <c r="A214" t="str">
        <f>Collection[[#This Row],[Set]]&amp;"-"&amp;Collection[[#This Row],[CardNo]]</f>
        <v>ECL-268</v>
      </c>
      <c r="B214" t="s">
        <v>6</v>
      </c>
      <c r="C214">
        <v>268</v>
      </c>
      <c r="D214" t="s">
        <v>219</v>
      </c>
      <c r="E214" t="s">
        <v>329</v>
      </c>
      <c r="F214">
        <v>1</v>
      </c>
      <c r="H214" s="1">
        <v>46106</v>
      </c>
      <c r="I214" s="2">
        <f t="shared" si="3"/>
        <v>0.50991111111111109</v>
      </c>
    </row>
    <row r="215" spans="1:9" x14ac:dyDescent="0.25">
      <c r="A215" t="str">
        <f>Collection[[#This Row],[Set]]&amp;"-"&amp;Collection[[#This Row],[CardNo]]</f>
        <v>ECL-269</v>
      </c>
      <c r="B215" t="s">
        <v>6</v>
      </c>
      <c r="C215">
        <v>269</v>
      </c>
      <c r="D215" t="s">
        <v>220</v>
      </c>
      <c r="E215" t="s">
        <v>234</v>
      </c>
      <c r="F215">
        <v>3</v>
      </c>
      <c r="G215">
        <v>1</v>
      </c>
      <c r="H215" s="1">
        <v>46106</v>
      </c>
      <c r="I215" s="2">
        <f t="shared" si="3"/>
        <v>0.50991111111111109</v>
      </c>
    </row>
    <row r="216" spans="1:9" x14ac:dyDescent="0.25">
      <c r="A216" t="str">
        <f>Collection[[#This Row],[Set]]&amp;"-"&amp;Collection[[#This Row],[CardNo]]</f>
        <v>ECL-270</v>
      </c>
      <c r="B216" t="s">
        <v>6</v>
      </c>
      <c r="C216">
        <v>270</v>
      </c>
      <c r="D216" t="s">
        <v>221</v>
      </c>
      <c r="E216" t="s">
        <v>282</v>
      </c>
      <c r="F216">
        <v>1</v>
      </c>
      <c r="G216">
        <v>1</v>
      </c>
      <c r="H216" s="1">
        <v>46106</v>
      </c>
      <c r="I216" s="2">
        <f t="shared" si="3"/>
        <v>0.50991111111111109</v>
      </c>
    </row>
    <row r="217" spans="1:9" x14ac:dyDescent="0.25">
      <c r="A217" t="str">
        <f>Collection[[#This Row],[Set]]&amp;"-"&amp;Collection[[#This Row],[CardNo]]</f>
        <v>ECL-271</v>
      </c>
      <c r="B217" t="s">
        <v>6</v>
      </c>
      <c r="C217">
        <v>271</v>
      </c>
      <c r="D217" t="s">
        <v>222</v>
      </c>
      <c r="E217" t="s">
        <v>233</v>
      </c>
      <c r="F217">
        <v>2</v>
      </c>
      <c r="H217" s="1">
        <v>46106</v>
      </c>
      <c r="I217" s="2">
        <f t="shared" si="3"/>
        <v>0.50991111111111109</v>
      </c>
    </row>
    <row r="218" spans="1:9" x14ac:dyDescent="0.25">
      <c r="A218" t="str">
        <f>Collection[[#This Row],[Set]]&amp;"-"&amp;Collection[[#This Row],[CardNo]]</f>
        <v>ECL-272</v>
      </c>
      <c r="B218" t="s">
        <v>6</v>
      </c>
      <c r="C218">
        <v>272</v>
      </c>
      <c r="D218" t="s">
        <v>223</v>
      </c>
      <c r="E218" t="s">
        <v>330</v>
      </c>
      <c r="F218">
        <v>3</v>
      </c>
      <c r="H218" s="1">
        <v>46106</v>
      </c>
      <c r="I218" s="2">
        <f t="shared" si="3"/>
        <v>0.50991111111111109</v>
      </c>
    </row>
    <row r="219" spans="1:9" x14ac:dyDescent="0.25">
      <c r="A219" t="str">
        <f>Collection[[#This Row],[Set]]&amp;"-"&amp;Collection[[#This Row],[CardNo]]</f>
        <v>ECL-273</v>
      </c>
      <c r="B219" t="s">
        <v>6</v>
      </c>
      <c r="C219">
        <v>273</v>
      </c>
      <c r="D219" t="s">
        <v>224</v>
      </c>
      <c r="E219" t="s">
        <v>233</v>
      </c>
      <c r="F219">
        <v>2</v>
      </c>
      <c r="G219">
        <v>1</v>
      </c>
      <c r="H219" s="1">
        <v>46106</v>
      </c>
      <c r="I219" s="2">
        <f t="shared" si="3"/>
        <v>0.50991111111111109</v>
      </c>
    </row>
    <row r="220" spans="1:9" x14ac:dyDescent="0.25">
      <c r="A220" t="str">
        <f>Collection[[#This Row],[Set]]&amp;"-"&amp;Collection[[#This Row],[CardNo]]</f>
        <v>ECL-274</v>
      </c>
      <c r="B220" t="s">
        <v>6</v>
      </c>
      <c r="C220">
        <v>274</v>
      </c>
      <c r="D220" t="s">
        <v>220</v>
      </c>
      <c r="E220" t="s">
        <v>284</v>
      </c>
      <c r="F220">
        <v>1</v>
      </c>
      <c r="H220" s="1">
        <v>46106</v>
      </c>
      <c r="I220" s="2">
        <f t="shared" si="3"/>
        <v>0.50991111111111109</v>
      </c>
    </row>
    <row r="221" spans="1:9" x14ac:dyDescent="0.25">
      <c r="A221" t="str">
        <f>Collection[[#This Row],[Set]]&amp;"-"&amp;Collection[[#This Row],[CardNo]]</f>
        <v>ECL-275</v>
      </c>
      <c r="B221" t="s">
        <v>6</v>
      </c>
      <c r="C221">
        <v>275</v>
      </c>
      <c r="D221" t="s">
        <v>221</v>
      </c>
      <c r="E221" t="s">
        <v>270</v>
      </c>
      <c r="F221">
        <v>2</v>
      </c>
      <c r="G221">
        <v>1</v>
      </c>
      <c r="H221" s="1">
        <v>46106</v>
      </c>
      <c r="I221" s="2">
        <f t="shared" si="3"/>
        <v>0.50991111111111109</v>
      </c>
    </row>
    <row r="222" spans="1:9" x14ac:dyDescent="0.25">
      <c r="A222" t="str">
        <f>Collection[[#This Row],[Set]]&amp;"-"&amp;Collection[[#This Row],[CardNo]]</f>
        <v>ECL-276</v>
      </c>
      <c r="B222" t="s">
        <v>6</v>
      </c>
      <c r="C222">
        <v>276</v>
      </c>
      <c r="D222" t="s">
        <v>222</v>
      </c>
      <c r="E222" t="s">
        <v>238</v>
      </c>
      <c r="F222">
        <v>1</v>
      </c>
      <c r="G222">
        <v>1</v>
      </c>
      <c r="H222" s="1">
        <v>46106</v>
      </c>
      <c r="I222" s="2">
        <f t="shared" si="3"/>
        <v>0.50991111111111109</v>
      </c>
    </row>
    <row r="223" spans="1:9" x14ac:dyDescent="0.25">
      <c r="A223" t="str">
        <f>Collection[[#This Row],[Set]]&amp;"-"&amp;Collection[[#This Row],[CardNo]]</f>
        <v>ECL-277</v>
      </c>
      <c r="B223" t="s">
        <v>6</v>
      </c>
      <c r="C223">
        <v>277</v>
      </c>
      <c r="D223" t="s">
        <v>223</v>
      </c>
      <c r="E223" t="s">
        <v>285</v>
      </c>
      <c r="F223">
        <v>1</v>
      </c>
      <c r="H223" s="1">
        <v>46106</v>
      </c>
      <c r="I223" s="2">
        <f t="shared" si="3"/>
        <v>0.50991111111111109</v>
      </c>
    </row>
    <row r="224" spans="1:9" x14ac:dyDescent="0.25">
      <c r="A224" t="str">
        <f>Collection[[#This Row],[Set]]&amp;"-"&amp;Collection[[#This Row],[CardNo]]</f>
        <v>ECL-278</v>
      </c>
      <c r="B224" t="s">
        <v>6</v>
      </c>
      <c r="C224">
        <v>278</v>
      </c>
      <c r="D224" t="s">
        <v>224</v>
      </c>
      <c r="E224" t="s">
        <v>331</v>
      </c>
      <c r="F224">
        <v>2</v>
      </c>
      <c r="G224">
        <v>2</v>
      </c>
      <c r="H224" s="1">
        <v>46106</v>
      </c>
      <c r="I224" s="2">
        <f t="shared" si="3"/>
        <v>0.50991111111111109</v>
      </c>
    </row>
    <row r="225" spans="1:9" x14ac:dyDescent="0.25">
      <c r="A225" t="str">
        <f>Collection[[#This Row],[Set]]&amp;"-"&amp;Collection[[#This Row],[CardNo]]</f>
        <v>ECL-279</v>
      </c>
      <c r="B225" t="s">
        <v>6</v>
      </c>
      <c r="C225">
        <v>279</v>
      </c>
      <c r="D225" t="s">
        <v>220</v>
      </c>
      <c r="E225" t="s">
        <v>284</v>
      </c>
      <c r="F225">
        <v>1</v>
      </c>
      <c r="H225" s="1">
        <v>46106</v>
      </c>
      <c r="I225" s="2">
        <f t="shared" si="3"/>
        <v>0.50991111111111109</v>
      </c>
    </row>
    <row r="226" spans="1:9" x14ac:dyDescent="0.25">
      <c r="A226" t="str">
        <f>Collection[[#This Row],[Set]]&amp;"-"&amp;Collection[[#This Row],[CardNo]]</f>
        <v>ECL-280</v>
      </c>
      <c r="B226" t="s">
        <v>6</v>
      </c>
      <c r="C226">
        <v>280</v>
      </c>
      <c r="D226" t="s">
        <v>221</v>
      </c>
      <c r="E226" t="s">
        <v>270</v>
      </c>
      <c r="F226">
        <v>3</v>
      </c>
      <c r="H226" s="1">
        <v>46106</v>
      </c>
      <c r="I226" s="2">
        <f t="shared" si="3"/>
        <v>0.50991111111111109</v>
      </c>
    </row>
    <row r="227" spans="1:9" x14ac:dyDescent="0.25">
      <c r="A227" t="str">
        <f>Collection[[#This Row],[Set]]&amp;"-"&amp;Collection[[#This Row],[CardNo]]</f>
        <v>ECL-281</v>
      </c>
      <c r="B227" t="s">
        <v>6</v>
      </c>
      <c r="C227">
        <v>281</v>
      </c>
      <c r="D227" t="s">
        <v>222</v>
      </c>
      <c r="E227" t="s">
        <v>238</v>
      </c>
      <c r="F227">
        <v>3</v>
      </c>
      <c r="H227" s="1">
        <v>46106</v>
      </c>
      <c r="I227" s="2">
        <f t="shared" si="3"/>
        <v>0.50991111111111109</v>
      </c>
    </row>
    <row r="228" spans="1:9" x14ac:dyDescent="0.25">
      <c r="A228" t="str">
        <f>Collection[[#This Row],[Set]]&amp;"-"&amp;Collection[[#This Row],[CardNo]]</f>
        <v>ECL-282</v>
      </c>
      <c r="B228" t="s">
        <v>6</v>
      </c>
      <c r="C228">
        <v>282</v>
      </c>
      <c r="D228" t="s">
        <v>223</v>
      </c>
      <c r="E228" t="s">
        <v>285</v>
      </c>
      <c r="F228">
        <v>2</v>
      </c>
      <c r="H228" s="1">
        <v>46106</v>
      </c>
      <c r="I228" s="2">
        <f t="shared" si="3"/>
        <v>0.50991111111111109</v>
      </c>
    </row>
    <row r="229" spans="1:9" x14ac:dyDescent="0.25">
      <c r="A229" t="str">
        <f>Collection[[#This Row],[Set]]&amp;"-"&amp;Collection[[#This Row],[CardNo]]</f>
        <v>ECL-283</v>
      </c>
      <c r="B229" t="s">
        <v>6</v>
      </c>
      <c r="C229">
        <v>283</v>
      </c>
      <c r="D229" t="s">
        <v>224</v>
      </c>
      <c r="E229" t="s">
        <v>331</v>
      </c>
      <c r="F229">
        <v>1</v>
      </c>
      <c r="G229">
        <v>1</v>
      </c>
      <c r="H229" s="1">
        <v>46106</v>
      </c>
      <c r="I229" s="2">
        <f t="shared" si="3"/>
        <v>0.50991111111111109</v>
      </c>
    </row>
    <row r="230" spans="1:9" x14ac:dyDescent="0.25">
      <c r="A230" t="str">
        <f>Collection[[#This Row],[Set]]&amp;"-"&amp;Collection[[#This Row],[CardNo]]</f>
        <v>ECL-311</v>
      </c>
      <c r="B230" t="s">
        <v>6</v>
      </c>
      <c r="C230">
        <v>311</v>
      </c>
      <c r="D230" t="s">
        <v>225</v>
      </c>
      <c r="E230" t="s">
        <v>332</v>
      </c>
      <c r="F230">
        <v>1</v>
      </c>
      <c r="H230" s="1">
        <v>46106</v>
      </c>
      <c r="I230" s="2">
        <f t="shared" si="3"/>
        <v>0.50991111111111109</v>
      </c>
    </row>
    <row r="231" spans="1:9" x14ac:dyDescent="0.25">
      <c r="A231" t="str">
        <f>Collection[[#This Row],[Set]]&amp;"-"&amp;Collection[[#This Row],[CardNo]]</f>
        <v>ECL-316</v>
      </c>
      <c r="B231" t="s">
        <v>6</v>
      </c>
      <c r="C231">
        <v>316</v>
      </c>
      <c r="D231" t="s">
        <v>127</v>
      </c>
      <c r="E231" t="s">
        <v>333</v>
      </c>
      <c r="F231">
        <v>1</v>
      </c>
      <c r="H231" s="1">
        <v>46106</v>
      </c>
      <c r="I231" s="2">
        <f t="shared" si="3"/>
        <v>0.50991111111111109</v>
      </c>
    </row>
    <row r="232" spans="1:9" x14ac:dyDescent="0.25">
      <c r="A232" t="str">
        <f>Collection[[#This Row],[Set]]&amp;"-"&amp;Collection[[#This Row],[CardNo]]</f>
        <v>ECL-323</v>
      </c>
      <c r="B232" t="s">
        <v>6</v>
      </c>
      <c r="C232">
        <v>323</v>
      </c>
      <c r="D232" t="s">
        <v>226</v>
      </c>
      <c r="E232" t="s">
        <v>334</v>
      </c>
      <c r="F232">
        <v>1</v>
      </c>
      <c r="H232" s="1">
        <v>46106</v>
      </c>
      <c r="I232" s="2">
        <f t="shared" si="3"/>
        <v>0.50991111111111109</v>
      </c>
    </row>
    <row r="233" spans="1:9" x14ac:dyDescent="0.25">
      <c r="A233" t="str">
        <f>Collection[[#This Row],[Set]]&amp;"-"&amp;Collection[[#This Row],[CardNo]]</f>
        <v>ECL-334</v>
      </c>
      <c r="B233" t="s">
        <v>6</v>
      </c>
      <c r="C233">
        <v>334</v>
      </c>
      <c r="D233" t="s">
        <v>180</v>
      </c>
      <c r="E233" t="s">
        <v>335</v>
      </c>
      <c r="F233">
        <v>1</v>
      </c>
      <c r="H233" s="1">
        <v>46106</v>
      </c>
      <c r="I233" s="2">
        <f t="shared" si="3"/>
        <v>0.50991111111111109</v>
      </c>
    </row>
    <row r="234" spans="1:9" x14ac:dyDescent="0.25">
      <c r="A234" t="str">
        <f>Collection[[#This Row],[Set]]&amp;"-"&amp;Collection[[#This Row],[CardNo]]</f>
        <v>ECL-336</v>
      </c>
      <c r="B234" t="s">
        <v>6</v>
      </c>
      <c r="C234">
        <v>336</v>
      </c>
      <c r="D234" t="s">
        <v>227</v>
      </c>
      <c r="E234" t="s">
        <v>336</v>
      </c>
      <c r="F234">
        <v>1</v>
      </c>
      <c r="H234" s="1">
        <v>46106</v>
      </c>
      <c r="I234" s="2">
        <f t="shared" si="3"/>
        <v>0.50991111111111109</v>
      </c>
    </row>
    <row r="235" spans="1:9" x14ac:dyDescent="0.25">
      <c r="A235" t="str">
        <f>Collection[[#This Row],[Set]]&amp;"-"&amp;Collection[[#This Row],[CardNo]]</f>
        <v>ECL-337</v>
      </c>
      <c r="B235" t="s">
        <v>6</v>
      </c>
      <c r="C235">
        <v>337</v>
      </c>
      <c r="D235" t="s">
        <v>183</v>
      </c>
      <c r="E235" t="s">
        <v>333</v>
      </c>
      <c r="F235">
        <v>1</v>
      </c>
      <c r="H235" s="1">
        <v>46106</v>
      </c>
      <c r="I235" s="2">
        <f t="shared" si="3"/>
        <v>0.50991111111111109</v>
      </c>
    </row>
    <row r="236" spans="1:9" x14ac:dyDescent="0.25">
      <c r="A236" t="str">
        <f>Collection[[#This Row],[Set]]&amp;"-"&amp;Collection[[#This Row],[CardNo]]</f>
        <v>ECL-338</v>
      </c>
      <c r="B236" t="s">
        <v>6</v>
      </c>
      <c r="C236">
        <v>338</v>
      </c>
      <c r="D236" t="s">
        <v>184</v>
      </c>
      <c r="E236" t="s">
        <v>337</v>
      </c>
      <c r="F236">
        <v>2</v>
      </c>
      <c r="H236" s="1">
        <v>46106</v>
      </c>
      <c r="I236" s="2">
        <f t="shared" si="3"/>
        <v>0.50991111111111109</v>
      </c>
    </row>
    <row r="237" spans="1:9" x14ac:dyDescent="0.25">
      <c r="A237" t="str">
        <f>Collection[[#This Row],[Set]]&amp;"-"&amp;Collection[[#This Row],[CardNo]]</f>
        <v>ECL-345</v>
      </c>
      <c r="B237" t="s">
        <v>6</v>
      </c>
      <c r="C237">
        <v>345</v>
      </c>
      <c r="D237" t="s">
        <v>204</v>
      </c>
      <c r="E237" t="s">
        <v>338</v>
      </c>
      <c r="F237">
        <v>3</v>
      </c>
      <c r="H237" s="1">
        <v>46106</v>
      </c>
      <c r="I237" s="2">
        <f t="shared" si="3"/>
        <v>0.50991111111111109</v>
      </c>
    </row>
  </sheetData>
  <pageMargins left="0.7" right="0.7" top="0.75" bottom="0.75" header="0.3" footer="0.3"/>
  <headerFooter>
    <oddFooter>&amp;C_x000D_&amp;1#&amp;"Aptos"&amp;12&amp;KD2222D [Confidential]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Wilson</dc:creator>
  <cp:lastModifiedBy>James Wilson</cp:lastModifiedBy>
  <dcterms:created xsi:type="dcterms:W3CDTF">2026-08-21T03:26:51Z</dcterms:created>
  <dcterms:modified xsi:type="dcterms:W3CDTF">2026-08-21T03:42:53Z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169b53a-e630-4681-a665-2e8a34883fc8_Enabled">
    <vt:lpwstr>true</vt:lpwstr>
  </property>
  <property fmtid="{D5CDD505-2E9C-101B-9397-08002B2CF9AE}" pid="3" name="MSIP_Label_0169b53a-e630-4681-a665-2e8a34883fc8_SetDate">
    <vt:lpwstr>2026-08-21T03:27:20Z</vt:lpwstr>
  </property>
  <property fmtid="{D5CDD505-2E9C-101B-9397-08002B2CF9AE}" pid="4" name="MSIP_Label_0169b53a-e630-4681-a665-2e8a34883fc8_Method">
    <vt:lpwstr>Privileged</vt:lpwstr>
  </property>
  <property fmtid="{D5CDD505-2E9C-101B-9397-08002B2CF9AE}" pid="5" name="MSIP_Label_0169b53a-e630-4681-a665-2e8a34883fc8_Name">
    <vt:lpwstr>0169b53a-e630-4681-a665-2e8a34883fc8</vt:lpwstr>
  </property>
  <property fmtid="{D5CDD505-2E9C-101B-9397-08002B2CF9AE}" pid="6" name="MSIP_Label_0169b53a-e630-4681-a665-2e8a34883fc8_SiteId">
    <vt:lpwstr>b616f5e5-d480-484c-94fe-158a5d7f9eed</vt:lpwstr>
  </property>
  <property fmtid="{D5CDD505-2E9C-101B-9397-08002B2CF9AE}" pid="7" name="MSIP_Label_0169b53a-e630-4681-a665-2e8a34883fc8_ActionId">
    <vt:lpwstr>3de2fac2-767c-4ffa-95be-416a96e6868b</vt:lpwstr>
  </property>
  <property fmtid="{D5CDD505-2E9C-101B-9397-08002B2CF9AE}" pid="8" name="MSIP_Label_0169b53a-e630-4681-a665-2e8a34883fc8_ContentBits">
    <vt:lpwstr>2</vt:lpwstr>
  </property>
  <property fmtid="{D5CDD505-2E9C-101B-9397-08002B2CF9AE}" pid="9" name="MSIP_Label_0169b53a-e630-4681-a665-2e8a34883fc8_Tag">
    <vt:lpwstr>10, 0, 1, 1</vt:lpwstr>
  </property>
</Properties>
</file>